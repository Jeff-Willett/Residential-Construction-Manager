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KEY" sheetId="1" state="visible" r:id="rId3"/>
    <sheet name="Gantt" sheetId="2" state="visible" r:id="rId4"/>
    <sheet name="Projects" sheetId="3" state="visible" r:id="rId5"/>
    <sheet name="Task Template" sheetId="4" state="visible" r:id="rId6"/>
    <sheet name="Schedule Engine" sheetId="5" state="visible" r:id="rId7"/>
    <sheet name="Engine Gantt" sheetId="6" state="visible" r:id="rId8"/>
    <sheet name="Bottleneck Lo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<sst xmlns="http://schemas.openxmlformats.org/spreadsheetml/2006/main" count="2021" uniqueCount="141">
  <si>
    <t xml:space="preserve">Projects</t>
  </si>
  <si>
    <t xml:space="preserve">Sub Color</t>
  </si>
  <si>
    <t xml:space="preserve">Subcontractors</t>
  </si>
  <si>
    <t xml:space="preserve">Capacity</t>
  </si>
  <si>
    <t xml:space="preserve">Scope 1</t>
  </si>
  <si>
    <t xml:space="preserve">Scope 2</t>
  </si>
  <si>
    <t xml:space="preserve">Scope 3</t>
  </si>
  <si>
    <t xml:space="preserve">Scope 4</t>
  </si>
  <si>
    <t xml:space="preserve">Scope 5</t>
  </si>
  <si>
    <t xml:space="preserve">Scope 6</t>
  </si>
  <si>
    <t xml:space="preserve">Scope 7</t>
  </si>
  <si>
    <t xml:space="preserve">3C Concrete </t>
  </si>
  <si>
    <t xml:space="preserve">Footer</t>
  </si>
  <si>
    <t xml:space="preserve">Slab</t>
  </si>
  <si>
    <t xml:space="preserve">Driveway</t>
  </si>
  <si>
    <t xml:space="preserve">Willett &amp; Assoc. </t>
  </si>
  <si>
    <t xml:space="preserve">Estimate</t>
  </si>
  <si>
    <t xml:space="preserve">Clearing</t>
  </si>
  <si>
    <t xml:space="preserve">Site Prep</t>
  </si>
  <si>
    <t xml:space="preserve">Rough grade</t>
  </si>
  <si>
    <t xml:space="preserve">Rock work</t>
  </si>
  <si>
    <t xml:space="preserve">Julio H</t>
  </si>
  <si>
    <t xml:space="preserve">Block</t>
  </si>
  <si>
    <t xml:space="preserve">Brick</t>
  </si>
  <si>
    <t xml:space="preserve">Stone </t>
  </si>
  <si>
    <t xml:space="preserve">Gerardo </t>
  </si>
  <si>
    <t xml:space="preserve">Framing</t>
  </si>
  <si>
    <t xml:space="preserve">Siding</t>
  </si>
  <si>
    <t xml:space="preserve">Rod Smith</t>
  </si>
  <si>
    <t xml:space="preserve">Roofing</t>
  </si>
  <si>
    <t xml:space="preserve">Dave Kaler</t>
  </si>
  <si>
    <t xml:space="preserve">Electrical Pre</t>
  </si>
  <si>
    <t xml:space="preserve">Electrical Rough</t>
  </si>
  <si>
    <t xml:space="preserve">Electrical Finish</t>
  </si>
  <si>
    <t xml:space="preserve">Appliances</t>
  </si>
  <si>
    <t xml:space="preserve">Adco</t>
  </si>
  <si>
    <t xml:space="preserve">HVAC Pre</t>
  </si>
  <si>
    <t xml:space="preserve">HVAC Rough</t>
  </si>
  <si>
    <t xml:space="preserve">HVAC Finish</t>
  </si>
  <si>
    <t xml:space="preserve">Hays</t>
  </si>
  <si>
    <t xml:space="preserve">Plumbing Pre</t>
  </si>
  <si>
    <t xml:space="preserve">Plumbing Rough</t>
  </si>
  <si>
    <t xml:space="preserve">Plumbing Finish</t>
  </si>
  <si>
    <t xml:space="preserve">LW Contracting</t>
  </si>
  <si>
    <t xml:space="preserve">Flooring</t>
  </si>
  <si>
    <t xml:space="preserve">Tile Work</t>
  </si>
  <si>
    <t xml:space="preserve">Tyler Champion</t>
  </si>
  <si>
    <t xml:space="preserve">Insulation Block</t>
  </si>
  <si>
    <t xml:space="preserve">Insulation Walls</t>
  </si>
  <si>
    <t xml:space="preserve">Insulation Ceiling</t>
  </si>
  <si>
    <t xml:space="preserve">Bernall Constr.</t>
  </si>
  <si>
    <t xml:space="preserve">Sheetrock</t>
  </si>
  <si>
    <t xml:space="preserve">Danny Liedecher</t>
  </si>
  <si>
    <t xml:space="preserve">Garage Doors</t>
  </si>
  <si>
    <t xml:space="preserve">BlueGrass Gutters</t>
  </si>
  <si>
    <t xml:space="preserve">Gutters</t>
  </si>
  <si>
    <t xml:space="preserve">Matt Thorne</t>
  </si>
  <si>
    <t xml:space="preserve">Trim Interior </t>
  </si>
  <si>
    <t xml:space="preserve">Trim Exterior</t>
  </si>
  <si>
    <t xml:space="preserve">L&amp;L Painting</t>
  </si>
  <si>
    <t xml:space="preserve">Painting Primer</t>
  </si>
  <si>
    <t xml:space="preserve">Painting Main</t>
  </si>
  <si>
    <t xml:space="preserve">Painting Finish</t>
  </si>
  <si>
    <t xml:space="preserve">Whittmer</t>
  </si>
  <si>
    <t xml:space="preserve">Cabinets</t>
  </si>
  <si>
    <t xml:space="preserve">Tate Granit</t>
  </si>
  <si>
    <t xml:space="preserve">Countertops</t>
  </si>
  <si>
    <t xml:space="preserve">Angie Mullens</t>
  </si>
  <si>
    <t xml:space="preserve">Closets</t>
  </si>
  <si>
    <t xml:space="preserve">Jacob Hayden</t>
  </si>
  <si>
    <t xml:space="preserve">Landscaping </t>
  </si>
  <si>
    <t xml:space="preserve">Finish Grade</t>
  </si>
  <si>
    <t xml:space="preserve">French Drain</t>
  </si>
  <si>
    <t xml:space="preserve">Gutter Drains</t>
  </si>
  <si>
    <t xml:space="preserve">Ramiro </t>
  </si>
  <si>
    <t xml:space="preserve">Irrigation</t>
  </si>
  <si>
    <t xml:space="preserve">TruGreen</t>
  </si>
  <si>
    <t xml:space="preserve">Lawn Seeding</t>
  </si>
  <si>
    <t xml:space="preserve">Angies Cleaning</t>
  </si>
  <si>
    <t xml:space="preserve">Cleaning</t>
  </si>
  <si>
    <t xml:space="preserve">Days </t>
  </si>
  <si>
    <t xml:space="preserve">M</t>
  </si>
  <si>
    <t xml:space="preserve">T</t>
  </si>
  <si>
    <t xml:space="preserve">W</t>
  </si>
  <si>
    <t xml:space="preserve">TH</t>
  </si>
  <si>
    <t xml:space="preserve">F</t>
  </si>
  <si>
    <t xml:space="preserve">S</t>
  </si>
  <si>
    <t xml:space="preserve">Project</t>
  </si>
  <si>
    <t xml:space="preserve">Subcontractor</t>
  </si>
  <si>
    <t xml:space="preserve">Scope </t>
  </si>
  <si>
    <t xml:space="preserve">Start Date</t>
  </si>
  <si>
    <t xml:space="preserve">To Complete</t>
  </si>
  <si>
    <t xml:space="preserve">End Date</t>
  </si>
  <si>
    <t xml:space="preserve">Dependancy</t>
  </si>
  <si>
    <t xml:space="preserve">IW10</t>
  </si>
  <si>
    <t xml:space="preserve">Rock Work</t>
  </si>
  <si>
    <t xml:space="preserve">Rough Grade</t>
  </si>
  <si>
    <t xml:space="preserve">Gutter drains</t>
  </si>
  <si>
    <t xml:space="preserve">Estimate to cleaning</t>
  </si>
  <si>
    <t xml:space="preserve">Days to build</t>
  </si>
  <si>
    <t xml:space="preserve">Months to build</t>
  </si>
  <si>
    <t xml:space="preserve">Notes</t>
  </si>
  <si>
    <t xml:space="preserve">How to use</t>
  </si>
  <si>
    <t xml:space="preserve">Base project from original schedule</t>
  </si>
  <si>
    <t xml:space="preserve">1) Edit project start dates here.</t>
  </si>
  <si>
    <t xml:space="preserve">IW11</t>
  </si>
  <si>
    <t xml:space="preserve">Edit this start date</t>
  </si>
  <si>
    <t xml:space="preserve">2) Edit task durations in Schedule Engine column K.</t>
  </si>
  <si>
    <t xml:space="preserve">IW12</t>
  </si>
  <si>
    <t xml:space="preserve">3) Calculated Start/Finish update automatically.</t>
  </si>
  <si>
    <t xml:space="preserve">IW13</t>
  </si>
  <si>
    <t xml:space="preserve">Future slot</t>
  </si>
  <si>
    <t xml:space="preserve">4) Red bars/load cells mean bottleneck delay or overlap risk.</t>
  </si>
  <si>
    <t xml:space="preserve">IW14</t>
  </si>
  <si>
    <t xml:space="preserve">IW15</t>
  </si>
  <si>
    <t xml:space="preserve">Task Order</t>
  </si>
  <si>
    <t xml:space="preserve">Scope</t>
  </si>
  <si>
    <t xml:space="preserve">Default Days</t>
  </si>
  <si>
    <t xml:space="preserve">Dependency</t>
  </si>
  <si>
    <t xml:space="preserve">Bottleneck Vendor</t>
  </si>
  <si>
    <t xml:space="preserve">Willett &amp; Assoc.</t>
  </si>
  <si>
    <t xml:space="preserve">3C Concrete</t>
  </si>
  <si>
    <t xml:space="preserve">Gerardo</t>
  </si>
  <si>
    <t xml:space="preserve">Stone</t>
  </si>
  <si>
    <t xml:space="preserve">Ramiro</t>
  </si>
  <si>
    <t xml:space="preserve">Landscaping</t>
  </si>
  <si>
    <t xml:space="preserve">Trim Interior</t>
  </si>
  <si>
    <t xml:space="preserve">Seq</t>
  </si>
  <si>
    <t xml:space="preserve">Project Start</t>
  </si>
  <si>
    <t xml:space="preserve">Task Key</t>
  </si>
  <si>
    <t xml:space="preserve">Dependency Key</t>
  </si>
  <si>
    <t xml:space="preserve">Days</t>
  </si>
  <si>
    <t xml:space="preserve">Logic Start</t>
  </si>
  <si>
    <t xml:space="preserve">Prev Bottleneck Finish</t>
  </si>
  <si>
    <t xml:space="preserve">Calculated Start</t>
  </si>
  <si>
    <t xml:space="preserve">Calculated Finish</t>
  </si>
  <si>
    <t xml:space="preserve">Delay Days</t>
  </si>
  <si>
    <t xml:space="preserve">Status</t>
  </si>
  <si>
    <t xml:space="preserve">Start</t>
  </si>
  <si>
    <t xml:space="preserve">Finish</t>
  </si>
  <si>
    <t xml:space="preserve">Delay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</si>
</sst>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m/d;@"/>
    <numFmt numFmtId="167" formatCode="0.0"/>
    <numFmt numFmtId="168" formatCode="m/d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u val="single"/>
      <sz val="10"/>
      <color theme="1"/>
      <name val="Aptos Narrow"/>
      <family val="2"/>
      <charset val="1"/>
    </font>
    <font>
      <sz val="6"/>
      <color theme="1"/>
      <name val="Aptos Narrow"/>
      <family val="2"/>
      <charset val="1"/>
    </font>
    <font>
      <b val="true"/>
      <u val="single"/>
      <sz val="12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80008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00B0F0"/>
        <bgColor rgb="FF0088B8"/>
      </patternFill>
    </fill>
    <fill>
      <patternFill patternType="solid">
        <fgColor rgb="FFFFFF00"/>
        <bgColor rgb="FFCCFF33"/>
      </patternFill>
    </fill>
    <fill>
      <patternFill patternType="solid">
        <fgColor theme="0" tint="-0.35"/>
        <bgColor rgb="FFAEAEAE"/>
      </patternFill>
    </fill>
    <fill>
      <patternFill patternType="solid">
        <fgColor theme="5" tint="0.5999"/>
        <bgColor rgb="FFFFC7CE"/>
      </patternFill>
    </fill>
    <fill>
      <patternFill patternType="solid">
        <fgColor theme="1" tint="0.0499"/>
        <bgColor rgb="FF000000"/>
      </patternFill>
    </fill>
    <fill>
      <patternFill patternType="solid">
        <fgColor rgb="FFFF0000"/>
        <bgColor rgb="FFFF0066"/>
      </patternFill>
    </fill>
    <fill>
      <patternFill patternType="solid">
        <fgColor theme="8" tint="0.3999"/>
        <bgColor rgb="FFFF6699"/>
      </patternFill>
    </fill>
    <fill>
      <patternFill patternType="solid">
        <fgColor theme="7" tint="0.7999"/>
        <bgColor rgb="FFD9F2D0"/>
      </patternFill>
    </fill>
    <fill>
      <patternFill patternType="solid">
        <fgColor theme="8" tint="0.7999"/>
        <bgColor rgb="FFEADCF8"/>
      </patternFill>
    </fill>
    <fill>
      <patternFill patternType="solid">
        <fgColor rgb="FFFF9999"/>
        <bgColor rgb="FFF2AA84"/>
      </patternFill>
    </fill>
    <fill>
      <patternFill patternType="solid">
        <fgColor theme="5"/>
        <bgColor rgb="FFFF6699"/>
      </patternFill>
    </fill>
    <fill>
      <patternFill patternType="solid">
        <fgColor rgb="FF99FF33"/>
        <bgColor rgb="FFCCFF33"/>
      </patternFill>
    </fill>
    <fill>
      <patternFill patternType="solid">
        <fgColor theme="3" tint="0.7499"/>
        <bgColor rgb="FF9CC2E5"/>
      </patternFill>
    </fill>
    <fill>
      <patternFill patternType="solid">
        <fgColor theme="5" tint="0.7999"/>
        <bgColor rgb="FFFCE4D6"/>
      </patternFill>
    </fill>
    <fill>
      <patternFill patternType="solid">
        <fgColor theme="3" tint="0.2499"/>
        <bgColor rgb="FF1F4E78"/>
      </patternFill>
    </fill>
    <fill>
      <patternFill patternType="solid">
        <fgColor theme="2" tint="-0.5"/>
        <bgColor rgb="FF595959"/>
      </patternFill>
    </fill>
    <fill>
      <patternFill patternType="solid">
        <fgColor theme="0" tint="-0.05"/>
        <bgColor rgb="FFE7E6E6"/>
      </patternFill>
    </fill>
    <fill>
      <patternFill patternType="solid">
        <fgColor rgb="FFFF0066"/>
        <bgColor rgb="FFCC0099"/>
      </patternFill>
    </fill>
    <fill>
      <patternFill patternType="solid">
        <fgColor theme="9" tint="0.7999"/>
        <bgColor rgb="FFE7E6E6"/>
      </patternFill>
    </fill>
    <fill>
      <patternFill patternType="solid">
        <fgColor theme="9" tint="-0.5"/>
        <bgColor rgb="FF333333"/>
      </patternFill>
    </fill>
    <fill>
      <patternFill patternType="solid">
        <fgColor theme="9" tint="0.3999"/>
        <bgColor rgb="FF99FF33"/>
      </patternFill>
    </fill>
    <fill>
      <patternFill patternType="solid">
        <fgColor rgb="FFC00000"/>
        <bgColor rgb="FF8E0000"/>
      </patternFill>
    </fill>
    <fill>
      <patternFill patternType="solid">
        <fgColor theme="1"/>
        <bgColor rgb="FF0D0D0D"/>
      </patternFill>
    </fill>
    <fill>
      <patternFill patternType="solid">
        <fgColor rgb="FF1F4E78"/>
        <bgColor rgb="FF215F9A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ADC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90" wrapText="false" indent="0" shrinkToFit="false"/>
      <protection locked="true" hidden="false"/>
    </xf>
    <xf numFmtId="168" fontId="0" fillId="27" borderId="0" xfId="0" applyFont="fals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>
          <bgColor rgb="FFFFD347"/>
        </patternFill>
      </fill>
    </dxf>
    <dxf>
      <fill>
        <patternFill>
          <bgColor rgb="FFCC0099"/>
        </patternFill>
      </fill>
    </dxf>
    <dxf>
      <fill>
        <patternFill>
          <bgColor theme="5"/>
        </patternFill>
      </fill>
    </dxf>
    <dxf>
      <fill>
        <patternFill>
          <bgColor rgb="FF002060"/>
        </patternFill>
      </fill>
    </dxf>
    <dxf>
      <fill>
        <patternFill>
          <bgColor rgb="FF00FFFF"/>
        </patternFill>
      </fill>
    </dxf>
    <dxf>
      <fill>
        <patternFill>
          <bgColor rgb="FF0000FF"/>
        </patternFill>
      </fill>
    </dxf>
    <dxf>
      <fill>
        <patternFill>
          <bgColor rgb="FFFFC000"/>
        </patternFill>
      </fill>
    </dxf>
    <dxf>
      <fill>
        <patternFill>
          <bgColor theme="8" tint="0.3999"/>
        </patternFill>
      </fill>
    </dxf>
    <dxf>
      <fill>
        <patternFill>
          <bgColor theme="5" tint="0.3999"/>
        </patternFill>
      </fill>
    </dxf>
    <dxf>
      <fill>
        <patternFill>
          <bgColor rgb="FF009E47"/>
        </patternFill>
      </fill>
    </dxf>
    <dxf>
      <fill>
        <patternFill>
          <bgColor rgb="FF0088B8"/>
        </patternFill>
      </fill>
    </dxf>
    <dxf>
      <fill>
        <patternFill>
          <bgColor rgb="FF8E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theme="9" tint="0.3999"/>
        </patternFill>
      </fill>
    </dxf>
    <dxf>
      <fill>
        <patternFill>
          <bgColor theme="1" tint="0.3499"/>
        </patternFill>
      </fill>
    </dxf>
    <dxf>
      <fill>
        <patternFill>
          <bgColor rgb="FFFFFF00"/>
        </patternFill>
      </fill>
    </dxf>
    <dxf>
      <fill>
        <patternFill>
          <bgColor theme="2" tint="-0.25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9CC2E5"/>
        </patternFill>
      </fill>
    </dxf>
    <dxf>
      <fill>
        <patternFill>
          <bgColor rgb="FFF4B084"/>
        </patternFill>
      </fill>
    </dxf>
    <dxf>
      <fill>
        <patternFill>
          <bgColor rgb="FFE7E6E6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99FF33"/>
      <rgbColor rgb="FF0000FF"/>
      <rgbColor rgb="FFFFFF00"/>
      <rgbColor rgb="FFFF0066"/>
      <rgbColor rgb="FF00FFFF"/>
      <rgbColor rgb="FF8E0000"/>
      <rgbColor rgb="FF008000"/>
      <rgbColor rgb="FF000080"/>
      <rgbColor rgb="FFF4B084"/>
      <rgbColor rgb="FF800080"/>
      <rgbColor rgb="FF0088B8"/>
      <rgbColor rgb="FFAEAEAE"/>
      <rgbColor rgb="FF747474"/>
      <rgbColor rgb="FF9CC2E5"/>
      <rgbColor rgb="FFFFC7CE"/>
      <rgbColor rgb="FFF2F2F2"/>
      <rgbColor rgb="FFCAEEFB"/>
      <rgbColor rgb="FF660066"/>
      <rgbColor rgb="FFFF6699"/>
      <rgbColor rgb="FF215F9A"/>
      <rgbColor rgb="FFEADCF8"/>
      <rgbColor rgb="FF000080"/>
      <rgbColor rgb="FFFF00FF"/>
      <rgbColor rgb="FFCCFF33"/>
      <rgbColor rgb="FFFBE3D6"/>
      <rgbColor rgb="FFCC0099"/>
      <rgbColor rgb="FFC00000"/>
      <rgbColor rgb="FF009E47"/>
      <rgbColor rgb="FF0000FF"/>
      <rgbColor rgb="FF00B0F0"/>
      <rgbColor rgb="FFE7E6E6"/>
      <rgbColor rgb="FFD9F2D0"/>
      <rgbColor rgb="FFFCE4D6"/>
      <rgbColor rgb="FFA6CAEC"/>
      <rgbColor rgb="FFFF9999"/>
      <rgbColor rgb="FFD86ECC"/>
      <rgbColor rgb="FFF6C6AD"/>
      <rgbColor rgb="FFF2CFEE"/>
      <rgbColor rgb="FFC6E0B4"/>
      <rgbColor rgb="FF8ED973"/>
      <rgbColor rgb="FFFFC000"/>
      <rgbColor rgb="FFF2AA84"/>
      <rgbColor rgb="FFE97132"/>
      <rgbColor rgb="FF595959"/>
      <rgbColor rgb="FFA6A6A6"/>
      <rgbColor rgb="FF002060"/>
      <rgbColor rgb="FFFFD347"/>
      <rgbColor rgb="FF0D0D0D"/>
      <rgbColor rgb="FF275417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cheduleEngine" displayName="ScheduleEngine" ref="A1:Q265" headerRowCount="1" totalsRowCount="0" totalsRowShown="0">
  <autoFilter ref="A1:Q265"/>
  <tableColumns count="17">
    <tableColumn id="1" name="Seq"/>
    <tableColumn id="2" name="Project"/>
    <tableColumn id="3" name="Project Start"/>
    <tableColumn id="4" name="Task Order"/>
    <tableColumn id="5" name="Scope"/>
    <tableColumn id="6" name="Subcontractor"/>
    <tableColumn id="7" name="Bottleneck Vendor"/>
    <tableColumn id="8" name="Dependency"/>
    <tableColumn id="9" name="Task Key"/>
    <tableColumn id="10" name="Dependency Key"/>
    <tableColumn id="11" name="Days"/>
    <tableColumn id="12" name="Logic Start"/>
    <tableColumn id="13" name="Prev Bottleneck Finish"/>
    <tableColumn id="14" name="Calculated Start"/>
    <tableColumn id="15" name="Calculated Finish"/>
    <tableColumn id="16" name="Delay Days"/>
    <tableColumn id="1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9.11328125" defaultRowHeight="13.5" customHeight="true" zeroHeight="false" outlineLevelRow="0" outlineLevelCol="0"/>
  <cols>
    <col collapsed="false" customWidth="false" hidden="false" outlineLevel="0" max="2" min="1" style="1" width="9.11"/>
    <col collapsed="false" customWidth="true" hidden="false" outlineLevel="0" max="3" min="3" style="1" width="9.89"/>
    <col collapsed="false" customWidth="true" hidden="false" outlineLevel="0" max="4" min="4" style="1" width="16.89"/>
    <col collapsed="false" customWidth="false" hidden="false" outlineLevel="0" max="5" min="5" style="1" width="9.11"/>
    <col collapsed="false" customWidth="true" hidden="false" outlineLevel="0" max="7" min="6" style="1" width="16.11"/>
    <col collapsed="false" customWidth="true" hidden="false" outlineLevel="0" max="8" min="8" style="1" width="16.45"/>
    <col collapsed="false" customWidth="true" hidden="false" outlineLevel="0" max="12" min="9" style="1" width="16.33"/>
    <col collapsed="false" customWidth="false" hidden="false" outlineLevel="0" max="16384" min="13" style="1" width="9.11"/>
  </cols>
  <sheetData>
    <row r="1" customFormat="false" ht="13.5" hidden="false" customHeight="false" outlineLevel="0" collapsed="false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3.5" hidden="false" customHeight="false" outlineLevel="0" collapsed="false">
      <c r="A2" s="3" t="n">
        <v>1</v>
      </c>
      <c r="C2" s="4"/>
      <c r="D2" s="1" t="s">
        <v>11</v>
      </c>
      <c r="E2" s="1" t="n">
        <v>1</v>
      </c>
      <c r="F2" s="1" t="s">
        <v>12</v>
      </c>
      <c r="G2" s="1" t="s">
        <v>13</v>
      </c>
      <c r="H2" s="1" t="s">
        <v>14</v>
      </c>
    </row>
    <row r="3" customFormat="false" ht="13.5" hidden="false" customHeight="false" outlineLevel="0" collapsed="false">
      <c r="A3" s="3" t="n">
        <v>2</v>
      </c>
      <c r="C3" s="5"/>
      <c r="D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customFormat="false" ht="13.5" hidden="false" customHeight="false" outlineLevel="0" collapsed="false">
      <c r="A4" s="3" t="n">
        <v>3</v>
      </c>
      <c r="C4" s="6"/>
      <c r="D4" s="1" t="s">
        <v>21</v>
      </c>
      <c r="F4" s="1" t="s">
        <v>22</v>
      </c>
      <c r="G4" s="1" t="s">
        <v>23</v>
      </c>
      <c r="H4" s="1" t="s">
        <v>24</v>
      </c>
    </row>
    <row r="5" customFormat="false" ht="13.5" hidden="false" customHeight="false" outlineLevel="0" collapsed="false">
      <c r="A5" s="3" t="n">
        <v>4</v>
      </c>
      <c r="C5" s="7"/>
      <c r="D5" s="1" t="s">
        <v>25</v>
      </c>
      <c r="F5" s="1" t="s">
        <v>26</v>
      </c>
      <c r="G5" s="1" t="s">
        <v>27</v>
      </c>
    </row>
    <row r="6" customFormat="false" ht="13.5" hidden="false" customHeight="false" outlineLevel="0" collapsed="false">
      <c r="C6" s="8"/>
      <c r="D6" s="1" t="s">
        <v>28</v>
      </c>
      <c r="F6" s="1" t="s">
        <v>29</v>
      </c>
    </row>
    <row r="7" customFormat="false" ht="13.5" hidden="false" customHeight="false" outlineLevel="0" collapsed="false">
      <c r="C7" s="9"/>
      <c r="D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</row>
    <row r="8" customFormat="false" ht="13.5" hidden="false" customHeight="false" outlineLevel="0" collapsed="false">
      <c r="C8" s="10"/>
      <c r="D8" s="1" t="s">
        <v>35</v>
      </c>
      <c r="F8" s="1" t="s">
        <v>36</v>
      </c>
      <c r="G8" s="1" t="s">
        <v>37</v>
      </c>
      <c r="H8" s="1" t="s">
        <v>38</v>
      </c>
    </row>
    <row r="9" customFormat="false" ht="13.5" hidden="false" customHeight="false" outlineLevel="0" collapsed="false">
      <c r="C9" s="11"/>
      <c r="D9" s="1" t="s">
        <v>39</v>
      </c>
      <c r="E9" s="1" t="n">
        <v>1</v>
      </c>
      <c r="F9" s="1" t="s">
        <v>40</v>
      </c>
      <c r="G9" s="1" t="s">
        <v>41</v>
      </c>
      <c r="H9" s="1" t="s">
        <v>42</v>
      </c>
    </row>
    <row r="10" customFormat="false" ht="13.5" hidden="false" customHeight="false" outlineLevel="0" collapsed="false">
      <c r="C10" s="12"/>
      <c r="D10" s="1" t="s">
        <v>43</v>
      </c>
      <c r="F10" s="1" t="s">
        <v>44</v>
      </c>
      <c r="G10" s="1" t="s">
        <v>45</v>
      </c>
    </row>
    <row r="11" customFormat="false" ht="13.5" hidden="false" customHeight="false" outlineLevel="0" collapsed="false">
      <c r="C11" s="13"/>
      <c r="D11" s="1" t="s">
        <v>46</v>
      </c>
      <c r="F11" s="1" t="s">
        <v>47</v>
      </c>
      <c r="G11" s="1" t="s">
        <v>48</v>
      </c>
      <c r="H11" s="1" t="s">
        <v>49</v>
      </c>
    </row>
    <row r="12" customFormat="false" ht="13.5" hidden="false" customHeight="false" outlineLevel="0" collapsed="false">
      <c r="C12" s="14"/>
      <c r="D12" s="1" t="s">
        <v>50</v>
      </c>
      <c r="F12" s="1" t="s">
        <v>51</v>
      </c>
    </row>
    <row r="13" customFormat="false" ht="13.5" hidden="false" customHeight="false" outlineLevel="0" collapsed="false">
      <c r="C13" s="15"/>
      <c r="D13" s="1" t="s">
        <v>52</v>
      </c>
      <c r="F13" s="1" t="s">
        <v>53</v>
      </c>
    </row>
    <row r="14" customFormat="false" ht="13.5" hidden="false" customHeight="false" outlineLevel="0" collapsed="false">
      <c r="C14" s="16"/>
      <c r="D14" s="1" t="s">
        <v>54</v>
      </c>
      <c r="F14" s="1" t="s">
        <v>55</v>
      </c>
    </row>
    <row r="15" customFormat="false" ht="13.5" hidden="false" customHeight="false" outlineLevel="0" collapsed="false">
      <c r="C15" s="17"/>
      <c r="D15" s="1" t="s">
        <v>56</v>
      </c>
      <c r="E15" s="1" t="n">
        <v>1</v>
      </c>
      <c r="F15" s="1" t="s">
        <v>57</v>
      </c>
      <c r="G15" s="1" t="s">
        <v>58</v>
      </c>
    </row>
    <row r="16" customFormat="false" ht="13.5" hidden="false" customHeight="false" outlineLevel="0" collapsed="false">
      <c r="C16" s="18"/>
      <c r="D16" s="1" t="s">
        <v>59</v>
      </c>
      <c r="F16" s="1" t="s">
        <v>60</v>
      </c>
      <c r="G16" s="1" t="s">
        <v>61</v>
      </c>
      <c r="H16" s="1" t="s">
        <v>62</v>
      </c>
    </row>
    <row r="17" customFormat="false" ht="13.5" hidden="false" customHeight="false" outlineLevel="0" collapsed="false">
      <c r="C17" s="19"/>
      <c r="D17" s="1" t="s">
        <v>63</v>
      </c>
      <c r="F17" s="1" t="s">
        <v>64</v>
      </c>
    </row>
    <row r="18" customFormat="false" ht="13.5" hidden="false" customHeight="false" outlineLevel="0" collapsed="false">
      <c r="C18" s="20"/>
      <c r="D18" s="1" t="s">
        <v>65</v>
      </c>
      <c r="F18" s="1" t="s">
        <v>66</v>
      </c>
    </row>
    <row r="19" customFormat="false" ht="13.5" hidden="false" customHeight="false" outlineLevel="0" collapsed="false">
      <c r="C19" s="21"/>
      <c r="D19" s="1" t="s">
        <v>67</v>
      </c>
      <c r="F19" s="1" t="s">
        <v>68</v>
      </c>
    </row>
    <row r="20" customFormat="false" ht="13.5" hidden="false" customHeight="false" outlineLevel="0" collapsed="false">
      <c r="C20" s="22"/>
      <c r="D20" s="1" t="s">
        <v>69</v>
      </c>
      <c r="F20" s="1" t="s">
        <v>70</v>
      </c>
      <c r="G20" s="1" t="s">
        <v>71</v>
      </c>
      <c r="H20" s="1" t="s">
        <v>72</v>
      </c>
      <c r="I20" s="1" t="s">
        <v>73</v>
      </c>
    </row>
    <row r="21" customFormat="false" ht="13.5" hidden="false" customHeight="false" outlineLevel="0" collapsed="false">
      <c r="C21" s="23"/>
      <c r="D21" s="1" t="s">
        <v>74</v>
      </c>
      <c r="F21" s="1" t="s">
        <v>75</v>
      </c>
    </row>
    <row r="22" customFormat="false" ht="13.5" hidden="false" customHeight="false" outlineLevel="0" collapsed="false">
      <c r="C22" s="24"/>
      <c r="D22" s="1" t="s">
        <v>76</v>
      </c>
      <c r="F22" s="1" t="s">
        <v>77</v>
      </c>
    </row>
    <row r="23" customFormat="false" ht="13.5" hidden="false" customHeight="false" outlineLevel="0" collapsed="false">
      <c r="C23" s="25"/>
      <c r="D23" s="1" t="s">
        <v>78</v>
      </c>
      <c r="F23" s="1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A51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pane xSplit="8" ySplit="3" topLeftCell="I4" activePane="bottomRight" state="frozen"/>
      <selection pane="topLeft" activeCell="A1" activeCellId="0" sqref="A1"/>
      <selection pane="topRight" activeCell="I1" activeCellId="0" sqref="I1"/>
      <selection pane="bottomLeft" activeCell="A4" activeCellId="0" sqref="A4"/>
      <selection pane="bottomRight" activeCell="AI49" activeCellId="0" sqref="AI4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0.44"/>
    <col collapsed="false" customWidth="true" hidden="false" outlineLevel="0" max="4" min="2" style="1" width="15.67"/>
    <col collapsed="false" customWidth="true" hidden="false" outlineLevel="0" max="5" min="5" style="26" width="17.44"/>
    <col collapsed="false" customWidth="true" hidden="false" outlineLevel="0" max="6" min="6" style="26" width="15.22"/>
    <col collapsed="false" customWidth="true" hidden="false" outlineLevel="0" max="7" min="7" style="0" width="17.33"/>
    <col collapsed="false" customWidth="true" hidden="false" outlineLevel="0" max="10" min="9" style="0" width="4"/>
    <col collapsed="false" customWidth="true" hidden="false" outlineLevel="0" max="19" min="11" style="0" width="3.11"/>
    <col collapsed="false" customWidth="true" hidden="false" outlineLevel="0" max="40" min="20" style="0" width="4"/>
    <col collapsed="false" customWidth="true" hidden="false" outlineLevel="0" max="49" min="41" style="0" width="3.11"/>
    <col collapsed="false" customWidth="true" hidden="false" outlineLevel="0" max="71" min="50" style="0" width="4"/>
    <col collapsed="false" customWidth="true" hidden="false" outlineLevel="0" max="80" min="72" style="0" width="3.11"/>
    <col collapsed="false" customWidth="true" hidden="false" outlineLevel="0" max="101" min="81" style="0" width="4"/>
    <col collapsed="false" customWidth="true" hidden="false" outlineLevel="0" max="110" min="102" style="0" width="3.11"/>
    <col collapsed="false" customWidth="true" hidden="false" outlineLevel="0" max="132" min="111" style="0" width="4"/>
    <col collapsed="false" customWidth="true" hidden="false" outlineLevel="0" max="141" min="133" style="0" width="3.11"/>
    <col collapsed="false" customWidth="true" hidden="false" outlineLevel="0" max="163" min="142" style="0" width="4"/>
    <col collapsed="false" customWidth="true" hidden="false" outlineLevel="0" max="172" min="164" style="0" width="3.11"/>
    <col collapsed="false" customWidth="true" hidden="false" outlineLevel="0" max="202" min="173" style="0" width="4"/>
    <col collapsed="false" customWidth="true" hidden="false" outlineLevel="0" max="224" min="203" style="0" width="4.89"/>
    <col collapsed="false" customWidth="true" hidden="false" outlineLevel="0" max="233" min="225" style="0" width="4"/>
    <col collapsed="false" customWidth="true" hidden="false" outlineLevel="0" max="254" min="234" style="0" width="4.89"/>
    <col collapsed="false" customWidth="true" hidden="false" outlineLevel="0" max="263" min="255" style="0" width="4"/>
    <col collapsed="false" customWidth="true" hidden="false" outlineLevel="0" max="285" min="264" style="0" width="4.89"/>
    <col collapsed="false" customWidth="true" hidden="false" outlineLevel="0" max="294" min="286" style="0" width="3.11"/>
    <col collapsed="false" customWidth="true" hidden="false" outlineLevel="0" max="316" min="295" style="0" width="4"/>
    <col collapsed="false" customWidth="true" hidden="false" outlineLevel="0" max="325" min="317" style="0" width="3.11"/>
    <col collapsed="false" customWidth="true" hidden="false" outlineLevel="0" max="344" min="326" style="0" width="4"/>
    <col collapsed="false" customWidth="true" hidden="false" outlineLevel="0" max="353" min="345" style="0" width="3.11"/>
    <col collapsed="false" customWidth="true" hidden="false" outlineLevel="0" max="365" min="354" style="0" width="4"/>
    <col collapsed="false" customWidth="true" hidden="false" outlineLevel="0" max="369" min="366" style="0" width="1.66"/>
  </cols>
  <sheetData>
    <row r="1" s="26" customFormat="true" ht="21.75" hidden="false" customHeight="true" outlineLevel="0" collapsed="false">
      <c r="B1" s="3"/>
      <c r="C1" s="3"/>
      <c r="D1" s="3"/>
      <c r="I1" s="27" t="n">
        <v>46117</v>
      </c>
      <c r="J1" s="27"/>
      <c r="K1" s="27"/>
      <c r="L1" s="27"/>
      <c r="M1" s="27"/>
      <c r="N1" s="27"/>
      <c r="O1" s="27"/>
      <c r="P1" s="27" t="n">
        <v>46124</v>
      </c>
      <c r="Q1" s="27"/>
      <c r="R1" s="27"/>
      <c r="S1" s="27"/>
      <c r="T1" s="27"/>
      <c r="U1" s="27"/>
      <c r="V1" s="27"/>
      <c r="W1" s="27" t="n">
        <v>46131</v>
      </c>
      <c r="X1" s="27"/>
      <c r="Y1" s="27"/>
      <c r="Z1" s="27"/>
      <c r="AA1" s="27"/>
      <c r="AB1" s="27"/>
      <c r="AC1" s="27"/>
      <c r="AD1" s="27" t="n">
        <v>46138</v>
      </c>
      <c r="AE1" s="27"/>
      <c r="AF1" s="27"/>
      <c r="AG1" s="27"/>
      <c r="AH1" s="27"/>
      <c r="AI1" s="27"/>
      <c r="AJ1" s="27"/>
      <c r="AK1" s="27" t="n">
        <v>46145</v>
      </c>
      <c r="AL1" s="27"/>
      <c r="AM1" s="27"/>
      <c r="AN1" s="27"/>
      <c r="AO1" s="27"/>
      <c r="AP1" s="27"/>
      <c r="AQ1" s="27"/>
      <c r="AR1" s="27" t="n">
        <v>46152</v>
      </c>
      <c r="AS1" s="27"/>
      <c r="AT1" s="27"/>
      <c r="AU1" s="27"/>
      <c r="AV1" s="27"/>
      <c r="AW1" s="27"/>
      <c r="AX1" s="27"/>
      <c r="AY1" s="27" t="n">
        <v>46159</v>
      </c>
      <c r="AZ1" s="27"/>
      <c r="BA1" s="27"/>
      <c r="BB1" s="27"/>
      <c r="BC1" s="27"/>
      <c r="BD1" s="27"/>
      <c r="BE1" s="27"/>
      <c r="BF1" s="27" t="n">
        <v>46166</v>
      </c>
      <c r="BG1" s="27"/>
      <c r="BH1" s="27"/>
      <c r="BI1" s="27"/>
      <c r="BJ1" s="27"/>
      <c r="BK1" s="27"/>
      <c r="BL1" s="27"/>
      <c r="BM1" s="27" t="n">
        <v>46173</v>
      </c>
      <c r="BN1" s="27"/>
      <c r="BO1" s="27"/>
      <c r="BP1" s="27"/>
      <c r="BQ1" s="27"/>
      <c r="BR1" s="27"/>
      <c r="BS1" s="27"/>
      <c r="BT1" s="27" t="n">
        <v>46180</v>
      </c>
      <c r="BU1" s="27"/>
      <c r="BV1" s="27"/>
      <c r="BW1" s="27"/>
      <c r="BX1" s="27"/>
      <c r="BY1" s="27"/>
      <c r="BZ1" s="27"/>
      <c r="CA1" s="27" t="n">
        <v>46187</v>
      </c>
      <c r="CB1" s="27"/>
      <c r="CC1" s="27"/>
      <c r="CD1" s="27"/>
      <c r="CE1" s="27"/>
      <c r="CF1" s="27"/>
      <c r="CG1" s="27"/>
      <c r="CH1" s="27" t="n">
        <v>46194</v>
      </c>
      <c r="CI1" s="27"/>
      <c r="CJ1" s="27"/>
      <c r="CK1" s="27"/>
      <c r="CL1" s="27"/>
      <c r="CM1" s="27"/>
      <c r="CN1" s="27"/>
      <c r="CO1" s="27" t="n">
        <v>46201</v>
      </c>
      <c r="CP1" s="27"/>
      <c r="CQ1" s="27"/>
      <c r="CR1" s="27"/>
      <c r="CS1" s="27"/>
      <c r="CT1" s="27"/>
      <c r="CU1" s="27"/>
      <c r="CV1" s="27" t="n">
        <v>46208</v>
      </c>
      <c r="CW1" s="27"/>
      <c r="CX1" s="27"/>
      <c r="CY1" s="27"/>
      <c r="CZ1" s="27"/>
      <c r="DA1" s="27"/>
      <c r="DB1" s="27"/>
      <c r="DC1" s="27" t="n">
        <v>46215</v>
      </c>
      <c r="DD1" s="27"/>
      <c r="DE1" s="27"/>
      <c r="DF1" s="27"/>
      <c r="DG1" s="27"/>
      <c r="DH1" s="27"/>
      <c r="DI1" s="27"/>
      <c r="DJ1" s="27" t="n">
        <v>46222</v>
      </c>
      <c r="DK1" s="27"/>
      <c r="DL1" s="27"/>
      <c r="DM1" s="27"/>
      <c r="DN1" s="27"/>
      <c r="DO1" s="27"/>
      <c r="DP1" s="27"/>
      <c r="DQ1" s="27" t="n">
        <v>46229</v>
      </c>
      <c r="DR1" s="27"/>
      <c r="DS1" s="27"/>
      <c r="DT1" s="27"/>
      <c r="DU1" s="27"/>
      <c r="DV1" s="27"/>
      <c r="DW1" s="27"/>
      <c r="DX1" s="27" t="n">
        <v>46236</v>
      </c>
      <c r="DY1" s="27"/>
      <c r="DZ1" s="27"/>
      <c r="EA1" s="27"/>
      <c r="EB1" s="27"/>
      <c r="EC1" s="27"/>
      <c r="ED1" s="27"/>
      <c r="EE1" s="27" t="n">
        <v>46243</v>
      </c>
      <c r="EF1" s="27"/>
      <c r="EG1" s="27"/>
      <c r="EH1" s="27"/>
      <c r="EI1" s="27"/>
      <c r="EJ1" s="27"/>
      <c r="EK1" s="27"/>
      <c r="EL1" s="27" t="n">
        <v>46250</v>
      </c>
      <c r="EM1" s="27"/>
      <c r="EN1" s="27"/>
      <c r="EO1" s="27"/>
      <c r="EP1" s="27"/>
      <c r="EQ1" s="27"/>
      <c r="ER1" s="27"/>
      <c r="ES1" s="27" t="n">
        <v>46257</v>
      </c>
      <c r="ET1" s="27"/>
      <c r="EU1" s="27"/>
      <c r="EV1" s="27"/>
      <c r="EW1" s="27"/>
      <c r="EX1" s="27"/>
      <c r="EY1" s="27"/>
      <c r="EZ1" s="27" t="n">
        <v>46264</v>
      </c>
      <c r="FA1" s="27"/>
      <c r="FB1" s="27"/>
      <c r="FC1" s="27"/>
      <c r="FD1" s="27"/>
      <c r="FE1" s="27"/>
      <c r="FF1" s="27"/>
      <c r="FG1" s="27" t="n">
        <v>46271</v>
      </c>
      <c r="FH1" s="27"/>
      <c r="FI1" s="27"/>
      <c r="FJ1" s="27"/>
      <c r="FK1" s="27"/>
      <c r="FL1" s="27"/>
      <c r="FM1" s="27"/>
      <c r="FN1" s="27" t="n">
        <v>46278</v>
      </c>
      <c r="FO1" s="27"/>
      <c r="FP1" s="27"/>
      <c r="FQ1" s="27"/>
      <c r="FR1" s="27"/>
      <c r="FS1" s="27"/>
      <c r="FT1" s="27"/>
      <c r="FU1" s="27" t="n">
        <v>46285</v>
      </c>
      <c r="FV1" s="27"/>
      <c r="FW1" s="27"/>
      <c r="FX1" s="27"/>
      <c r="FY1" s="27"/>
      <c r="FZ1" s="27"/>
      <c r="GA1" s="27"/>
      <c r="GB1" s="27" t="n">
        <v>46292</v>
      </c>
      <c r="GC1" s="27"/>
      <c r="GD1" s="27"/>
      <c r="GE1" s="27"/>
      <c r="GF1" s="27"/>
      <c r="GG1" s="27"/>
      <c r="GH1" s="27"/>
      <c r="GI1" s="27" t="n">
        <v>46299</v>
      </c>
      <c r="GJ1" s="27"/>
      <c r="GK1" s="27"/>
      <c r="GL1" s="27"/>
      <c r="GM1" s="27"/>
      <c r="GN1" s="27"/>
      <c r="GO1" s="27"/>
      <c r="GP1" s="27" t="n">
        <v>46306</v>
      </c>
      <c r="GQ1" s="27"/>
      <c r="GR1" s="27"/>
      <c r="GS1" s="27"/>
      <c r="GT1" s="27"/>
      <c r="GU1" s="27"/>
      <c r="GV1" s="27"/>
      <c r="GW1" s="27" t="n">
        <v>46313</v>
      </c>
      <c r="GX1" s="27"/>
      <c r="GY1" s="27"/>
      <c r="GZ1" s="27"/>
      <c r="HA1" s="27"/>
      <c r="HB1" s="27"/>
      <c r="HC1" s="27"/>
      <c r="HD1" s="27" t="n">
        <v>46320</v>
      </c>
      <c r="HE1" s="27"/>
      <c r="HF1" s="27"/>
      <c r="HG1" s="27"/>
      <c r="HH1" s="27"/>
      <c r="HI1" s="27"/>
      <c r="HJ1" s="27"/>
      <c r="HK1" s="27" t="n">
        <v>46327</v>
      </c>
      <c r="HL1" s="27"/>
      <c r="HM1" s="27"/>
      <c r="HN1" s="27"/>
      <c r="HO1" s="27"/>
      <c r="HP1" s="27"/>
      <c r="HQ1" s="27"/>
      <c r="HR1" s="27" t="n">
        <v>46334</v>
      </c>
      <c r="HS1" s="27"/>
      <c r="HT1" s="27"/>
      <c r="HU1" s="27"/>
      <c r="HV1" s="27"/>
      <c r="HW1" s="27"/>
      <c r="HX1" s="27"/>
      <c r="HY1" s="27" t="n">
        <v>46341</v>
      </c>
      <c r="HZ1" s="27"/>
      <c r="IA1" s="27"/>
      <c r="IB1" s="27"/>
      <c r="IC1" s="27"/>
      <c r="ID1" s="27"/>
      <c r="IE1" s="27"/>
      <c r="IF1" s="27" t="n">
        <v>46348</v>
      </c>
      <c r="IG1" s="27"/>
      <c r="IH1" s="27"/>
      <c r="II1" s="27"/>
      <c r="IJ1" s="27"/>
      <c r="IK1" s="27"/>
      <c r="IL1" s="27"/>
      <c r="IM1" s="27" t="n">
        <v>46355</v>
      </c>
      <c r="IN1" s="27"/>
      <c r="IO1" s="27"/>
      <c r="IP1" s="27"/>
      <c r="IQ1" s="27"/>
      <c r="IR1" s="27"/>
      <c r="IS1" s="27"/>
      <c r="IT1" s="27" t="n">
        <v>46362</v>
      </c>
      <c r="IU1" s="27"/>
      <c r="IV1" s="27"/>
      <c r="IW1" s="27"/>
      <c r="IX1" s="27"/>
      <c r="IY1" s="27"/>
      <c r="IZ1" s="27"/>
      <c r="JA1" s="27" t="n">
        <v>46369</v>
      </c>
      <c r="JB1" s="27"/>
      <c r="JC1" s="27"/>
      <c r="JD1" s="27"/>
      <c r="JE1" s="27"/>
      <c r="JF1" s="27"/>
      <c r="JG1" s="27"/>
      <c r="JH1" s="27" t="n">
        <v>46376</v>
      </c>
      <c r="JI1" s="27"/>
      <c r="JJ1" s="27"/>
      <c r="JK1" s="27"/>
      <c r="JL1" s="27"/>
      <c r="JM1" s="27"/>
      <c r="JN1" s="27"/>
      <c r="JO1" s="27" t="n">
        <v>46383</v>
      </c>
      <c r="JP1" s="27"/>
      <c r="JQ1" s="27"/>
      <c r="JR1" s="27"/>
      <c r="JS1" s="27"/>
      <c r="JT1" s="27"/>
      <c r="JU1" s="27"/>
      <c r="JV1" s="27" t="n">
        <v>46390</v>
      </c>
      <c r="JW1" s="27"/>
      <c r="JX1" s="27"/>
      <c r="JY1" s="27"/>
      <c r="JZ1" s="27"/>
      <c r="KA1" s="27"/>
      <c r="KB1" s="27"/>
      <c r="KC1" s="27" t="n">
        <v>46397</v>
      </c>
      <c r="KD1" s="27"/>
      <c r="KE1" s="27"/>
      <c r="KF1" s="27"/>
      <c r="KG1" s="27"/>
      <c r="KH1" s="27"/>
      <c r="KI1" s="27"/>
      <c r="KJ1" s="27" t="n">
        <v>46404</v>
      </c>
      <c r="KK1" s="27"/>
      <c r="KL1" s="27"/>
      <c r="KM1" s="27"/>
      <c r="KN1" s="27"/>
      <c r="KO1" s="27"/>
      <c r="KP1" s="27"/>
      <c r="KQ1" s="27" t="n">
        <v>46411</v>
      </c>
      <c r="KR1" s="27"/>
      <c r="KS1" s="27"/>
      <c r="KT1" s="27"/>
      <c r="KU1" s="27"/>
      <c r="KV1" s="27"/>
      <c r="KW1" s="27"/>
      <c r="KX1" s="27" t="n">
        <v>46418</v>
      </c>
      <c r="KY1" s="27"/>
      <c r="KZ1" s="27"/>
      <c r="LA1" s="27"/>
      <c r="LB1" s="27"/>
      <c r="LC1" s="27"/>
      <c r="LD1" s="27"/>
      <c r="LE1" s="27" t="n">
        <v>46425</v>
      </c>
      <c r="LF1" s="27"/>
      <c r="LG1" s="27"/>
      <c r="LH1" s="27"/>
      <c r="LI1" s="27"/>
      <c r="LJ1" s="27"/>
      <c r="LK1" s="27"/>
      <c r="LL1" s="27" t="n">
        <v>46432</v>
      </c>
      <c r="LM1" s="27"/>
      <c r="LN1" s="27"/>
      <c r="LO1" s="27"/>
      <c r="LP1" s="27"/>
      <c r="LQ1" s="27"/>
      <c r="LR1" s="27"/>
      <c r="LS1" s="27" t="n">
        <v>46439</v>
      </c>
      <c r="LT1" s="27"/>
      <c r="LU1" s="27"/>
      <c r="LV1" s="27"/>
      <c r="LW1" s="27"/>
      <c r="LX1" s="27"/>
      <c r="LY1" s="27"/>
      <c r="LZ1" s="27" t="n">
        <v>46446</v>
      </c>
      <c r="MA1" s="27"/>
      <c r="MB1" s="27"/>
      <c r="MC1" s="27"/>
      <c r="MD1" s="27"/>
      <c r="ME1" s="27"/>
      <c r="MF1" s="27"/>
      <c r="MG1" s="27" t="n">
        <v>46453</v>
      </c>
      <c r="MH1" s="27"/>
      <c r="MI1" s="27"/>
      <c r="MJ1" s="27"/>
      <c r="MK1" s="27"/>
      <c r="ML1" s="27"/>
      <c r="MM1" s="27"/>
      <c r="MN1" s="27" t="n">
        <v>46460</v>
      </c>
      <c r="MO1" s="27"/>
      <c r="MP1" s="27"/>
      <c r="MQ1" s="27"/>
      <c r="MR1" s="27"/>
      <c r="MS1" s="27"/>
      <c r="MT1" s="27"/>
      <c r="MU1" s="27" t="n">
        <v>46467</v>
      </c>
      <c r="MV1" s="27"/>
      <c r="MW1" s="27"/>
      <c r="MX1" s="27"/>
      <c r="MY1" s="27"/>
      <c r="MZ1" s="27"/>
      <c r="NA1" s="27"/>
    </row>
    <row r="2" s="28" customFormat="true" ht="21.75" hidden="false" customHeight="true" outlineLevel="0" collapsed="false">
      <c r="E2" s="29" t="s">
        <v>80</v>
      </c>
      <c r="I2" s="28" t="s">
        <v>81</v>
      </c>
      <c r="J2" s="28" t="s">
        <v>82</v>
      </c>
      <c r="K2" s="28" t="s">
        <v>83</v>
      </c>
      <c r="L2" s="28" t="s">
        <v>84</v>
      </c>
      <c r="M2" s="28" t="s">
        <v>85</v>
      </c>
      <c r="N2" s="28" t="s">
        <v>86</v>
      </c>
      <c r="O2" s="28" t="s">
        <v>86</v>
      </c>
      <c r="P2" s="28" t="s">
        <v>81</v>
      </c>
      <c r="Q2" s="28" t="s">
        <v>82</v>
      </c>
      <c r="R2" s="28" t="s">
        <v>83</v>
      </c>
      <c r="S2" s="28" t="s">
        <v>84</v>
      </c>
      <c r="T2" s="28" t="s">
        <v>85</v>
      </c>
      <c r="U2" s="28" t="s">
        <v>86</v>
      </c>
      <c r="V2" s="28" t="s">
        <v>86</v>
      </c>
      <c r="W2" s="28" t="s">
        <v>81</v>
      </c>
      <c r="X2" s="28" t="s">
        <v>82</v>
      </c>
      <c r="Y2" s="28" t="s">
        <v>83</v>
      </c>
      <c r="Z2" s="28" t="s">
        <v>84</v>
      </c>
      <c r="AA2" s="28" t="s">
        <v>85</v>
      </c>
      <c r="AB2" s="28" t="s">
        <v>86</v>
      </c>
      <c r="AC2" s="28" t="s">
        <v>86</v>
      </c>
      <c r="AD2" s="28" t="s">
        <v>81</v>
      </c>
      <c r="AE2" s="28" t="s">
        <v>82</v>
      </c>
      <c r="AF2" s="28" t="s">
        <v>83</v>
      </c>
      <c r="AG2" s="28" t="s">
        <v>84</v>
      </c>
      <c r="AH2" s="28" t="s">
        <v>85</v>
      </c>
      <c r="AI2" s="28" t="s">
        <v>86</v>
      </c>
      <c r="AJ2" s="28" t="s">
        <v>86</v>
      </c>
      <c r="AK2" s="28" t="s">
        <v>81</v>
      </c>
      <c r="AL2" s="28" t="s">
        <v>82</v>
      </c>
      <c r="AM2" s="28" t="s">
        <v>83</v>
      </c>
      <c r="AN2" s="28" t="s">
        <v>84</v>
      </c>
      <c r="AO2" s="28" t="s">
        <v>85</v>
      </c>
      <c r="AP2" s="28" t="s">
        <v>86</v>
      </c>
      <c r="AQ2" s="28" t="s">
        <v>86</v>
      </c>
      <c r="AR2" s="28" t="s">
        <v>81</v>
      </c>
      <c r="AS2" s="28" t="s">
        <v>82</v>
      </c>
      <c r="AT2" s="28" t="s">
        <v>83</v>
      </c>
      <c r="AU2" s="28" t="s">
        <v>84</v>
      </c>
      <c r="AV2" s="28" t="s">
        <v>85</v>
      </c>
      <c r="AW2" s="28" t="s">
        <v>86</v>
      </c>
      <c r="AX2" s="28" t="s">
        <v>86</v>
      </c>
      <c r="AY2" s="28" t="s">
        <v>81</v>
      </c>
      <c r="AZ2" s="28" t="s">
        <v>82</v>
      </c>
      <c r="BA2" s="28" t="s">
        <v>83</v>
      </c>
      <c r="BB2" s="28" t="s">
        <v>84</v>
      </c>
      <c r="BC2" s="28" t="s">
        <v>85</v>
      </c>
      <c r="BD2" s="28" t="s">
        <v>86</v>
      </c>
      <c r="BE2" s="28" t="s">
        <v>86</v>
      </c>
      <c r="BF2" s="28" t="s">
        <v>81</v>
      </c>
      <c r="BG2" s="28" t="s">
        <v>82</v>
      </c>
      <c r="BH2" s="28" t="s">
        <v>83</v>
      </c>
      <c r="BI2" s="28" t="s">
        <v>84</v>
      </c>
      <c r="BJ2" s="28" t="s">
        <v>85</v>
      </c>
      <c r="BK2" s="28" t="s">
        <v>86</v>
      </c>
      <c r="BL2" s="28" t="s">
        <v>86</v>
      </c>
      <c r="BM2" s="28" t="s">
        <v>81</v>
      </c>
      <c r="BN2" s="28" t="s">
        <v>82</v>
      </c>
      <c r="BO2" s="28" t="s">
        <v>83</v>
      </c>
      <c r="BP2" s="28" t="s">
        <v>84</v>
      </c>
      <c r="BQ2" s="28" t="s">
        <v>85</v>
      </c>
      <c r="BR2" s="28" t="s">
        <v>86</v>
      </c>
      <c r="BS2" s="28" t="s">
        <v>86</v>
      </c>
      <c r="BT2" s="28" t="s">
        <v>81</v>
      </c>
      <c r="BU2" s="28" t="s">
        <v>82</v>
      </c>
      <c r="BV2" s="28" t="s">
        <v>83</v>
      </c>
      <c r="BW2" s="28" t="s">
        <v>84</v>
      </c>
      <c r="BX2" s="28" t="s">
        <v>85</v>
      </c>
      <c r="BY2" s="28" t="s">
        <v>86</v>
      </c>
      <c r="BZ2" s="28" t="s">
        <v>86</v>
      </c>
      <c r="CA2" s="28" t="s">
        <v>81</v>
      </c>
      <c r="CB2" s="28" t="s">
        <v>82</v>
      </c>
      <c r="CC2" s="28" t="s">
        <v>83</v>
      </c>
      <c r="CD2" s="28" t="s">
        <v>84</v>
      </c>
      <c r="CE2" s="28" t="s">
        <v>85</v>
      </c>
      <c r="CF2" s="28" t="s">
        <v>86</v>
      </c>
      <c r="CG2" s="28" t="s">
        <v>86</v>
      </c>
      <c r="CH2" s="28" t="s">
        <v>81</v>
      </c>
      <c r="CI2" s="28" t="s">
        <v>82</v>
      </c>
      <c r="CJ2" s="28" t="s">
        <v>83</v>
      </c>
      <c r="CK2" s="28" t="s">
        <v>84</v>
      </c>
      <c r="CL2" s="28" t="s">
        <v>85</v>
      </c>
      <c r="CM2" s="28" t="s">
        <v>86</v>
      </c>
      <c r="CN2" s="28" t="s">
        <v>86</v>
      </c>
      <c r="CO2" s="28" t="s">
        <v>81</v>
      </c>
      <c r="CP2" s="28" t="s">
        <v>82</v>
      </c>
      <c r="CQ2" s="28" t="s">
        <v>83</v>
      </c>
      <c r="CR2" s="28" t="s">
        <v>84</v>
      </c>
      <c r="CS2" s="28" t="s">
        <v>85</v>
      </c>
      <c r="CT2" s="28" t="s">
        <v>86</v>
      </c>
      <c r="CU2" s="28" t="s">
        <v>86</v>
      </c>
      <c r="CV2" s="28" t="s">
        <v>81</v>
      </c>
      <c r="CW2" s="28" t="s">
        <v>82</v>
      </c>
      <c r="CX2" s="28" t="s">
        <v>83</v>
      </c>
      <c r="CY2" s="28" t="s">
        <v>84</v>
      </c>
      <c r="CZ2" s="28" t="s">
        <v>85</v>
      </c>
      <c r="DA2" s="28" t="s">
        <v>86</v>
      </c>
      <c r="DB2" s="28" t="s">
        <v>86</v>
      </c>
      <c r="DC2" s="28" t="s">
        <v>81</v>
      </c>
      <c r="DD2" s="28" t="s">
        <v>82</v>
      </c>
      <c r="DE2" s="28" t="s">
        <v>83</v>
      </c>
      <c r="DF2" s="28" t="s">
        <v>84</v>
      </c>
      <c r="DG2" s="28" t="s">
        <v>85</v>
      </c>
      <c r="DH2" s="28" t="s">
        <v>86</v>
      </c>
      <c r="DI2" s="28" t="s">
        <v>86</v>
      </c>
      <c r="DJ2" s="28" t="s">
        <v>81</v>
      </c>
      <c r="DK2" s="28" t="s">
        <v>82</v>
      </c>
      <c r="DL2" s="28" t="s">
        <v>83</v>
      </c>
      <c r="DM2" s="28" t="s">
        <v>84</v>
      </c>
      <c r="DN2" s="28" t="s">
        <v>85</v>
      </c>
      <c r="DO2" s="28" t="s">
        <v>86</v>
      </c>
      <c r="DP2" s="28" t="s">
        <v>86</v>
      </c>
      <c r="DQ2" s="28" t="s">
        <v>81</v>
      </c>
      <c r="DR2" s="28" t="s">
        <v>82</v>
      </c>
      <c r="DS2" s="28" t="s">
        <v>83</v>
      </c>
      <c r="DT2" s="28" t="s">
        <v>84</v>
      </c>
      <c r="DU2" s="28" t="s">
        <v>85</v>
      </c>
      <c r="DV2" s="28" t="s">
        <v>86</v>
      </c>
      <c r="DW2" s="28" t="s">
        <v>86</v>
      </c>
      <c r="DX2" s="28" t="s">
        <v>81</v>
      </c>
      <c r="DY2" s="28" t="s">
        <v>82</v>
      </c>
      <c r="DZ2" s="28" t="s">
        <v>83</v>
      </c>
      <c r="EA2" s="28" t="s">
        <v>84</v>
      </c>
      <c r="EB2" s="28" t="s">
        <v>85</v>
      </c>
      <c r="EC2" s="28" t="s">
        <v>86</v>
      </c>
      <c r="ED2" s="28" t="s">
        <v>86</v>
      </c>
      <c r="EE2" s="28" t="s">
        <v>81</v>
      </c>
      <c r="EF2" s="28" t="s">
        <v>82</v>
      </c>
      <c r="EG2" s="28" t="s">
        <v>83</v>
      </c>
      <c r="EH2" s="28" t="s">
        <v>84</v>
      </c>
      <c r="EI2" s="28" t="s">
        <v>85</v>
      </c>
      <c r="EJ2" s="28" t="s">
        <v>86</v>
      </c>
      <c r="EK2" s="28" t="s">
        <v>86</v>
      </c>
      <c r="EL2" s="28" t="s">
        <v>81</v>
      </c>
      <c r="EM2" s="28" t="s">
        <v>82</v>
      </c>
      <c r="EN2" s="28" t="s">
        <v>83</v>
      </c>
      <c r="EO2" s="28" t="s">
        <v>84</v>
      </c>
      <c r="EP2" s="28" t="s">
        <v>85</v>
      </c>
      <c r="EQ2" s="28" t="s">
        <v>86</v>
      </c>
      <c r="ER2" s="28" t="s">
        <v>86</v>
      </c>
      <c r="ES2" s="28" t="s">
        <v>81</v>
      </c>
      <c r="ET2" s="28" t="s">
        <v>82</v>
      </c>
      <c r="EU2" s="28" t="s">
        <v>83</v>
      </c>
      <c r="EV2" s="28" t="s">
        <v>84</v>
      </c>
      <c r="EW2" s="28" t="s">
        <v>85</v>
      </c>
      <c r="EX2" s="28" t="s">
        <v>86</v>
      </c>
      <c r="EY2" s="28" t="s">
        <v>86</v>
      </c>
      <c r="EZ2" s="28" t="s">
        <v>81</v>
      </c>
      <c r="FA2" s="28" t="s">
        <v>82</v>
      </c>
      <c r="FB2" s="28" t="s">
        <v>83</v>
      </c>
      <c r="FC2" s="28" t="s">
        <v>84</v>
      </c>
      <c r="FD2" s="28" t="s">
        <v>85</v>
      </c>
      <c r="FE2" s="28" t="s">
        <v>86</v>
      </c>
      <c r="FF2" s="28" t="s">
        <v>86</v>
      </c>
      <c r="FG2" s="28" t="s">
        <v>81</v>
      </c>
      <c r="FH2" s="28" t="s">
        <v>82</v>
      </c>
      <c r="FI2" s="28" t="s">
        <v>83</v>
      </c>
      <c r="FJ2" s="28" t="s">
        <v>84</v>
      </c>
      <c r="FK2" s="28" t="s">
        <v>85</v>
      </c>
      <c r="FL2" s="28" t="s">
        <v>86</v>
      </c>
      <c r="FM2" s="28" t="s">
        <v>86</v>
      </c>
      <c r="FN2" s="28" t="s">
        <v>81</v>
      </c>
      <c r="FO2" s="28" t="s">
        <v>82</v>
      </c>
      <c r="FP2" s="28" t="s">
        <v>83</v>
      </c>
      <c r="FQ2" s="28" t="s">
        <v>84</v>
      </c>
      <c r="FR2" s="28" t="s">
        <v>85</v>
      </c>
      <c r="FS2" s="28" t="s">
        <v>86</v>
      </c>
      <c r="FT2" s="28" t="s">
        <v>86</v>
      </c>
      <c r="FU2" s="28" t="s">
        <v>81</v>
      </c>
      <c r="FV2" s="28" t="s">
        <v>82</v>
      </c>
      <c r="FW2" s="28" t="s">
        <v>83</v>
      </c>
      <c r="FX2" s="28" t="s">
        <v>84</v>
      </c>
      <c r="FY2" s="28" t="s">
        <v>85</v>
      </c>
      <c r="FZ2" s="28" t="s">
        <v>86</v>
      </c>
      <c r="GA2" s="28" t="s">
        <v>86</v>
      </c>
      <c r="GB2" s="28" t="s">
        <v>81</v>
      </c>
      <c r="GC2" s="28" t="s">
        <v>82</v>
      </c>
      <c r="GD2" s="28" t="s">
        <v>83</v>
      </c>
      <c r="GE2" s="28" t="s">
        <v>84</v>
      </c>
      <c r="GF2" s="28" t="s">
        <v>85</v>
      </c>
      <c r="GG2" s="28" t="s">
        <v>86</v>
      </c>
      <c r="GH2" s="28" t="s">
        <v>86</v>
      </c>
      <c r="GI2" s="28" t="s">
        <v>81</v>
      </c>
      <c r="GJ2" s="28" t="s">
        <v>82</v>
      </c>
      <c r="GK2" s="28" t="s">
        <v>83</v>
      </c>
      <c r="GL2" s="28" t="s">
        <v>84</v>
      </c>
      <c r="GM2" s="28" t="s">
        <v>85</v>
      </c>
      <c r="GN2" s="28" t="s">
        <v>86</v>
      </c>
      <c r="GO2" s="28" t="s">
        <v>86</v>
      </c>
      <c r="GP2" s="28" t="s">
        <v>81</v>
      </c>
      <c r="GQ2" s="28" t="s">
        <v>82</v>
      </c>
      <c r="GR2" s="28" t="s">
        <v>83</v>
      </c>
      <c r="GS2" s="28" t="s">
        <v>84</v>
      </c>
      <c r="GT2" s="28" t="s">
        <v>85</v>
      </c>
      <c r="GU2" s="28" t="s">
        <v>86</v>
      </c>
      <c r="GV2" s="28" t="s">
        <v>86</v>
      </c>
      <c r="GW2" s="28" t="s">
        <v>81</v>
      </c>
      <c r="GX2" s="28" t="s">
        <v>82</v>
      </c>
      <c r="GY2" s="28" t="s">
        <v>83</v>
      </c>
      <c r="GZ2" s="28" t="s">
        <v>84</v>
      </c>
      <c r="HA2" s="28" t="s">
        <v>85</v>
      </c>
      <c r="HB2" s="28" t="s">
        <v>86</v>
      </c>
      <c r="HC2" s="28" t="s">
        <v>86</v>
      </c>
      <c r="HD2" s="28" t="s">
        <v>81</v>
      </c>
      <c r="HE2" s="28" t="s">
        <v>82</v>
      </c>
      <c r="HF2" s="28" t="s">
        <v>83</v>
      </c>
      <c r="HG2" s="28" t="s">
        <v>84</v>
      </c>
      <c r="HH2" s="28" t="s">
        <v>85</v>
      </c>
      <c r="HI2" s="28" t="s">
        <v>86</v>
      </c>
      <c r="HJ2" s="28" t="s">
        <v>86</v>
      </c>
      <c r="HK2" s="28" t="s">
        <v>81</v>
      </c>
      <c r="HL2" s="28" t="s">
        <v>82</v>
      </c>
      <c r="HM2" s="28" t="s">
        <v>83</v>
      </c>
      <c r="HN2" s="28" t="s">
        <v>84</v>
      </c>
      <c r="HO2" s="28" t="s">
        <v>85</v>
      </c>
      <c r="HP2" s="28" t="s">
        <v>86</v>
      </c>
      <c r="HQ2" s="28" t="s">
        <v>86</v>
      </c>
      <c r="HR2" s="28" t="s">
        <v>81</v>
      </c>
      <c r="HS2" s="28" t="s">
        <v>82</v>
      </c>
      <c r="HT2" s="28" t="s">
        <v>83</v>
      </c>
      <c r="HU2" s="28" t="s">
        <v>84</v>
      </c>
      <c r="HV2" s="28" t="s">
        <v>85</v>
      </c>
      <c r="HW2" s="28" t="s">
        <v>86</v>
      </c>
      <c r="HX2" s="28" t="s">
        <v>86</v>
      </c>
      <c r="HY2" s="28" t="s">
        <v>81</v>
      </c>
      <c r="HZ2" s="28" t="s">
        <v>82</v>
      </c>
      <c r="IA2" s="28" t="s">
        <v>83</v>
      </c>
      <c r="IB2" s="28" t="s">
        <v>84</v>
      </c>
      <c r="IC2" s="28" t="s">
        <v>85</v>
      </c>
      <c r="ID2" s="28" t="s">
        <v>86</v>
      </c>
      <c r="IE2" s="28" t="s">
        <v>86</v>
      </c>
      <c r="IF2" s="28" t="s">
        <v>81</v>
      </c>
      <c r="IG2" s="28" t="s">
        <v>82</v>
      </c>
      <c r="IH2" s="28" t="s">
        <v>83</v>
      </c>
      <c r="II2" s="28" t="s">
        <v>84</v>
      </c>
      <c r="IJ2" s="28" t="s">
        <v>85</v>
      </c>
      <c r="IK2" s="28" t="s">
        <v>86</v>
      </c>
      <c r="IL2" s="28" t="s">
        <v>86</v>
      </c>
      <c r="IM2" s="28" t="s">
        <v>81</v>
      </c>
      <c r="IN2" s="28" t="s">
        <v>82</v>
      </c>
      <c r="IO2" s="28" t="s">
        <v>83</v>
      </c>
      <c r="IP2" s="28" t="s">
        <v>84</v>
      </c>
      <c r="IQ2" s="28" t="s">
        <v>85</v>
      </c>
      <c r="IR2" s="28" t="s">
        <v>86</v>
      </c>
      <c r="IS2" s="28" t="s">
        <v>86</v>
      </c>
      <c r="IT2" s="28" t="s">
        <v>81</v>
      </c>
      <c r="IU2" s="28" t="s">
        <v>82</v>
      </c>
      <c r="IV2" s="28" t="s">
        <v>83</v>
      </c>
      <c r="IW2" s="28" t="s">
        <v>84</v>
      </c>
      <c r="IX2" s="28" t="s">
        <v>85</v>
      </c>
      <c r="IY2" s="28" t="s">
        <v>86</v>
      </c>
      <c r="IZ2" s="28" t="s">
        <v>86</v>
      </c>
      <c r="JA2" s="28" t="s">
        <v>81</v>
      </c>
      <c r="JB2" s="28" t="s">
        <v>82</v>
      </c>
      <c r="JC2" s="28" t="s">
        <v>83</v>
      </c>
      <c r="JD2" s="28" t="s">
        <v>84</v>
      </c>
      <c r="JE2" s="28" t="s">
        <v>85</v>
      </c>
      <c r="JF2" s="28" t="s">
        <v>86</v>
      </c>
      <c r="JG2" s="28" t="s">
        <v>86</v>
      </c>
      <c r="JH2" s="28" t="s">
        <v>81</v>
      </c>
      <c r="JI2" s="28" t="s">
        <v>82</v>
      </c>
      <c r="JJ2" s="28" t="s">
        <v>83</v>
      </c>
      <c r="JK2" s="28" t="s">
        <v>84</v>
      </c>
      <c r="JL2" s="28" t="s">
        <v>85</v>
      </c>
      <c r="JM2" s="28" t="s">
        <v>86</v>
      </c>
      <c r="JN2" s="28" t="s">
        <v>86</v>
      </c>
      <c r="JO2" s="28" t="s">
        <v>81</v>
      </c>
      <c r="JP2" s="28" t="s">
        <v>82</v>
      </c>
      <c r="JQ2" s="28" t="s">
        <v>83</v>
      </c>
      <c r="JR2" s="28" t="s">
        <v>84</v>
      </c>
      <c r="JS2" s="28" t="s">
        <v>85</v>
      </c>
      <c r="JT2" s="28" t="s">
        <v>86</v>
      </c>
      <c r="JU2" s="28" t="s">
        <v>86</v>
      </c>
      <c r="JV2" s="28" t="s">
        <v>81</v>
      </c>
      <c r="JW2" s="28" t="s">
        <v>82</v>
      </c>
      <c r="JX2" s="28" t="s">
        <v>83</v>
      </c>
      <c r="JY2" s="28" t="s">
        <v>84</v>
      </c>
      <c r="JZ2" s="28" t="s">
        <v>85</v>
      </c>
      <c r="KA2" s="28" t="s">
        <v>86</v>
      </c>
      <c r="KB2" s="28" t="s">
        <v>86</v>
      </c>
      <c r="KC2" s="28" t="s">
        <v>81</v>
      </c>
      <c r="KD2" s="28" t="s">
        <v>82</v>
      </c>
      <c r="KE2" s="28" t="s">
        <v>83</v>
      </c>
      <c r="KF2" s="28" t="s">
        <v>84</v>
      </c>
      <c r="KG2" s="28" t="s">
        <v>85</v>
      </c>
      <c r="KH2" s="28" t="s">
        <v>86</v>
      </c>
      <c r="KI2" s="28" t="s">
        <v>86</v>
      </c>
      <c r="KJ2" s="28" t="s">
        <v>81</v>
      </c>
      <c r="KK2" s="28" t="s">
        <v>82</v>
      </c>
      <c r="KL2" s="28" t="s">
        <v>83</v>
      </c>
      <c r="KM2" s="28" t="s">
        <v>84</v>
      </c>
      <c r="KN2" s="28" t="s">
        <v>85</v>
      </c>
      <c r="KO2" s="28" t="s">
        <v>86</v>
      </c>
      <c r="KP2" s="28" t="s">
        <v>86</v>
      </c>
      <c r="KQ2" s="28" t="s">
        <v>81</v>
      </c>
      <c r="KR2" s="28" t="s">
        <v>82</v>
      </c>
      <c r="KS2" s="28" t="s">
        <v>83</v>
      </c>
      <c r="KT2" s="28" t="s">
        <v>84</v>
      </c>
      <c r="KU2" s="28" t="s">
        <v>85</v>
      </c>
      <c r="KV2" s="28" t="s">
        <v>86</v>
      </c>
      <c r="KW2" s="28" t="s">
        <v>86</v>
      </c>
      <c r="KX2" s="28" t="s">
        <v>81</v>
      </c>
      <c r="KY2" s="28" t="s">
        <v>82</v>
      </c>
      <c r="KZ2" s="28" t="s">
        <v>83</v>
      </c>
      <c r="LA2" s="28" t="s">
        <v>84</v>
      </c>
      <c r="LB2" s="28" t="s">
        <v>85</v>
      </c>
      <c r="LC2" s="28" t="s">
        <v>86</v>
      </c>
      <c r="LD2" s="28" t="s">
        <v>86</v>
      </c>
      <c r="LE2" s="28" t="s">
        <v>81</v>
      </c>
      <c r="LF2" s="28" t="s">
        <v>82</v>
      </c>
      <c r="LG2" s="28" t="s">
        <v>83</v>
      </c>
      <c r="LH2" s="28" t="s">
        <v>84</v>
      </c>
      <c r="LI2" s="28" t="s">
        <v>85</v>
      </c>
      <c r="LJ2" s="28" t="s">
        <v>86</v>
      </c>
      <c r="LK2" s="28" t="s">
        <v>86</v>
      </c>
      <c r="LL2" s="28" t="s">
        <v>81</v>
      </c>
      <c r="LM2" s="28" t="s">
        <v>82</v>
      </c>
      <c r="LN2" s="28" t="s">
        <v>83</v>
      </c>
      <c r="LO2" s="28" t="s">
        <v>84</v>
      </c>
      <c r="LP2" s="28" t="s">
        <v>85</v>
      </c>
      <c r="LQ2" s="28" t="s">
        <v>86</v>
      </c>
      <c r="LR2" s="28" t="s">
        <v>86</v>
      </c>
      <c r="LS2" s="28" t="s">
        <v>81</v>
      </c>
      <c r="LT2" s="28" t="s">
        <v>82</v>
      </c>
      <c r="LU2" s="28" t="s">
        <v>83</v>
      </c>
      <c r="LV2" s="28" t="s">
        <v>84</v>
      </c>
      <c r="LW2" s="28" t="s">
        <v>85</v>
      </c>
      <c r="LX2" s="28" t="s">
        <v>86</v>
      </c>
      <c r="LY2" s="28" t="s">
        <v>86</v>
      </c>
      <c r="LZ2" s="28" t="s">
        <v>81</v>
      </c>
      <c r="MA2" s="28" t="s">
        <v>82</v>
      </c>
      <c r="MB2" s="28" t="s">
        <v>83</v>
      </c>
      <c r="MC2" s="28" t="s">
        <v>84</v>
      </c>
      <c r="MD2" s="28" t="s">
        <v>85</v>
      </c>
      <c r="ME2" s="28" t="s">
        <v>86</v>
      </c>
      <c r="MF2" s="28" t="s">
        <v>86</v>
      </c>
      <c r="MG2" s="28" t="s">
        <v>81</v>
      </c>
      <c r="MH2" s="28" t="s">
        <v>82</v>
      </c>
      <c r="MI2" s="28" t="s">
        <v>83</v>
      </c>
      <c r="MJ2" s="28" t="s">
        <v>84</v>
      </c>
      <c r="MK2" s="28" t="s">
        <v>85</v>
      </c>
      <c r="ML2" s="28" t="s">
        <v>86</v>
      </c>
      <c r="MM2" s="28" t="s">
        <v>86</v>
      </c>
      <c r="MN2" s="28" t="s">
        <v>81</v>
      </c>
      <c r="MO2" s="28" t="s">
        <v>82</v>
      </c>
      <c r="MP2" s="28" t="s">
        <v>83</v>
      </c>
      <c r="MQ2" s="28" t="s">
        <v>84</v>
      </c>
      <c r="MR2" s="28" t="s">
        <v>85</v>
      </c>
      <c r="MS2" s="28" t="s">
        <v>86</v>
      </c>
      <c r="MT2" s="28" t="s">
        <v>86</v>
      </c>
      <c r="MU2" s="28" t="s">
        <v>81</v>
      </c>
      <c r="MV2" s="28" t="s">
        <v>82</v>
      </c>
      <c r="MW2" s="28" t="s">
        <v>83</v>
      </c>
      <c r="MX2" s="28" t="s">
        <v>84</v>
      </c>
      <c r="MY2" s="28" t="s">
        <v>85</v>
      </c>
      <c r="MZ2" s="28" t="s">
        <v>86</v>
      </c>
      <c r="NA2" s="28" t="s">
        <v>86</v>
      </c>
    </row>
    <row r="3" s="32" customFormat="true" ht="21.75" hidden="false" customHeight="true" outlineLevel="0" collapsed="false">
      <c r="A3" s="30" t="s">
        <v>87</v>
      </c>
      <c r="B3" s="30" t="s">
        <v>88</v>
      </c>
      <c r="C3" s="30" t="s">
        <v>89</v>
      </c>
      <c r="D3" s="30" t="s">
        <v>90</v>
      </c>
      <c r="E3" s="30" t="s">
        <v>91</v>
      </c>
      <c r="F3" s="30" t="s">
        <v>92</v>
      </c>
      <c r="G3" s="30" t="s">
        <v>93</v>
      </c>
      <c r="H3" s="30"/>
      <c r="I3" s="31" t="n">
        <v>46111</v>
      </c>
      <c r="J3" s="31" t="n">
        <v>46112</v>
      </c>
      <c r="K3" s="31" t="n">
        <v>46113</v>
      </c>
      <c r="L3" s="31" t="n">
        <v>46114</v>
      </c>
      <c r="M3" s="31" t="n">
        <v>46115</v>
      </c>
      <c r="N3" s="31" t="n">
        <v>46116</v>
      </c>
      <c r="O3" s="31" t="n">
        <v>46117</v>
      </c>
      <c r="P3" s="31" t="n">
        <v>46118</v>
      </c>
      <c r="Q3" s="31" t="n">
        <v>46119</v>
      </c>
      <c r="R3" s="31" t="n">
        <v>46120</v>
      </c>
      <c r="S3" s="31" t="n">
        <v>46121</v>
      </c>
      <c r="T3" s="31" t="n">
        <v>46122</v>
      </c>
      <c r="U3" s="31" t="n">
        <v>46123</v>
      </c>
      <c r="V3" s="31" t="n">
        <v>46124</v>
      </c>
      <c r="W3" s="31" t="n">
        <v>46125</v>
      </c>
      <c r="X3" s="31" t="n">
        <v>46126</v>
      </c>
      <c r="Y3" s="31" t="n">
        <v>46127</v>
      </c>
      <c r="Z3" s="31" t="n">
        <v>46128</v>
      </c>
      <c r="AA3" s="31" t="n">
        <v>46129</v>
      </c>
      <c r="AB3" s="31" t="n">
        <v>46130</v>
      </c>
      <c r="AC3" s="31" t="n">
        <v>46131</v>
      </c>
      <c r="AD3" s="31" t="n">
        <v>46132</v>
      </c>
      <c r="AE3" s="31" t="n">
        <v>46133</v>
      </c>
      <c r="AF3" s="31" t="n">
        <v>46134</v>
      </c>
      <c r="AG3" s="31" t="n">
        <v>46135</v>
      </c>
      <c r="AH3" s="31" t="n">
        <v>46136</v>
      </c>
      <c r="AI3" s="31" t="n">
        <v>46137</v>
      </c>
      <c r="AJ3" s="31" t="n">
        <v>46138</v>
      </c>
      <c r="AK3" s="31" t="n">
        <v>46139</v>
      </c>
      <c r="AL3" s="31" t="n">
        <v>46140</v>
      </c>
      <c r="AM3" s="31" t="n">
        <v>46141</v>
      </c>
      <c r="AN3" s="31" t="n">
        <v>46142</v>
      </c>
      <c r="AO3" s="31" t="n">
        <v>46143</v>
      </c>
      <c r="AP3" s="31" t="n">
        <v>46144</v>
      </c>
      <c r="AQ3" s="31" t="n">
        <v>46145</v>
      </c>
      <c r="AR3" s="31" t="n">
        <v>46146</v>
      </c>
      <c r="AS3" s="31" t="n">
        <v>46147</v>
      </c>
      <c r="AT3" s="31" t="n">
        <v>46148</v>
      </c>
      <c r="AU3" s="31" t="n">
        <v>46149</v>
      </c>
      <c r="AV3" s="31" t="n">
        <v>46150</v>
      </c>
      <c r="AW3" s="31" t="n">
        <v>46151</v>
      </c>
      <c r="AX3" s="31" t="n">
        <v>46152</v>
      </c>
      <c r="AY3" s="31" t="n">
        <v>46153</v>
      </c>
      <c r="AZ3" s="31" t="n">
        <v>46154</v>
      </c>
      <c r="BA3" s="31" t="n">
        <v>46155</v>
      </c>
      <c r="BB3" s="31" t="n">
        <v>46156</v>
      </c>
      <c r="BC3" s="31" t="n">
        <v>46157</v>
      </c>
      <c r="BD3" s="31" t="n">
        <v>46158</v>
      </c>
      <c r="BE3" s="31" t="n">
        <v>46159</v>
      </c>
      <c r="BF3" s="31" t="n">
        <v>46160</v>
      </c>
      <c r="BG3" s="31" t="n">
        <v>46161</v>
      </c>
      <c r="BH3" s="31" t="n">
        <v>46162</v>
      </c>
      <c r="BI3" s="31" t="n">
        <v>46163</v>
      </c>
      <c r="BJ3" s="31" t="n">
        <v>46164</v>
      </c>
      <c r="BK3" s="31" t="n">
        <v>46165</v>
      </c>
      <c r="BL3" s="31" t="n">
        <v>46166</v>
      </c>
      <c r="BM3" s="31" t="n">
        <v>46167</v>
      </c>
      <c r="BN3" s="31" t="n">
        <v>46168</v>
      </c>
      <c r="BO3" s="31" t="n">
        <v>46169</v>
      </c>
      <c r="BP3" s="31" t="n">
        <v>46170</v>
      </c>
      <c r="BQ3" s="31" t="n">
        <v>46171</v>
      </c>
      <c r="BR3" s="31" t="n">
        <v>46172</v>
      </c>
      <c r="BS3" s="31" t="n">
        <v>46173</v>
      </c>
      <c r="BT3" s="31" t="n">
        <v>46174</v>
      </c>
      <c r="BU3" s="31" t="n">
        <v>46175</v>
      </c>
      <c r="BV3" s="31" t="n">
        <v>46176</v>
      </c>
      <c r="BW3" s="31" t="n">
        <v>46177</v>
      </c>
      <c r="BX3" s="31" t="n">
        <v>46178</v>
      </c>
      <c r="BY3" s="31" t="n">
        <v>46179</v>
      </c>
      <c r="BZ3" s="31" t="n">
        <v>46180</v>
      </c>
      <c r="CA3" s="31" t="n">
        <v>46181</v>
      </c>
      <c r="CB3" s="31" t="n">
        <v>46182</v>
      </c>
      <c r="CC3" s="31" t="n">
        <v>46183</v>
      </c>
      <c r="CD3" s="31" t="n">
        <v>46184</v>
      </c>
      <c r="CE3" s="31" t="n">
        <v>46185</v>
      </c>
      <c r="CF3" s="31" t="n">
        <v>46186</v>
      </c>
      <c r="CG3" s="31" t="n">
        <v>46187</v>
      </c>
      <c r="CH3" s="31" t="n">
        <v>46188</v>
      </c>
      <c r="CI3" s="31" t="n">
        <v>46189</v>
      </c>
      <c r="CJ3" s="31" t="n">
        <v>46190</v>
      </c>
      <c r="CK3" s="31" t="n">
        <v>46191</v>
      </c>
      <c r="CL3" s="31" t="n">
        <v>46192</v>
      </c>
      <c r="CM3" s="31" t="n">
        <v>46193</v>
      </c>
      <c r="CN3" s="31" t="n">
        <v>46194</v>
      </c>
      <c r="CO3" s="31" t="n">
        <v>46195</v>
      </c>
      <c r="CP3" s="31" t="n">
        <v>46196</v>
      </c>
      <c r="CQ3" s="31" t="n">
        <v>46197</v>
      </c>
      <c r="CR3" s="31" t="n">
        <v>46198</v>
      </c>
      <c r="CS3" s="31" t="n">
        <v>46199</v>
      </c>
      <c r="CT3" s="31" t="n">
        <v>46200</v>
      </c>
      <c r="CU3" s="31" t="n">
        <v>46201</v>
      </c>
      <c r="CV3" s="31" t="n">
        <v>46202</v>
      </c>
      <c r="CW3" s="31" t="n">
        <v>46203</v>
      </c>
      <c r="CX3" s="31" t="n">
        <v>46204</v>
      </c>
      <c r="CY3" s="31" t="n">
        <v>46205</v>
      </c>
      <c r="CZ3" s="31" t="n">
        <v>46206</v>
      </c>
      <c r="DA3" s="31" t="n">
        <v>46207</v>
      </c>
      <c r="DB3" s="31" t="n">
        <v>46208</v>
      </c>
      <c r="DC3" s="31" t="n">
        <v>46209</v>
      </c>
      <c r="DD3" s="31" t="n">
        <v>46210</v>
      </c>
      <c r="DE3" s="31" t="n">
        <v>46211</v>
      </c>
      <c r="DF3" s="31" t="n">
        <v>46212</v>
      </c>
      <c r="DG3" s="31" t="n">
        <v>46213</v>
      </c>
      <c r="DH3" s="31" t="n">
        <v>46214</v>
      </c>
      <c r="DI3" s="31" t="n">
        <v>46215</v>
      </c>
      <c r="DJ3" s="31" t="n">
        <v>46216</v>
      </c>
      <c r="DK3" s="31" t="n">
        <v>46217</v>
      </c>
      <c r="DL3" s="31" t="n">
        <v>46218</v>
      </c>
      <c r="DM3" s="31" t="n">
        <v>46219</v>
      </c>
      <c r="DN3" s="31" t="n">
        <v>46220</v>
      </c>
      <c r="DO3" s="31" t="n">
        <v>46221</v>
      </c>
      <c r="DP3" s="31" t="n">
        <v>46222</v>
      </c>
      <c r="DQ3" s="31" t="n">
        <v>46223</v>
      </c>
      <c r="DR3" s="31" t="n">
        <v>46224</v>
      </c>
      <c r="DS3" s="31" t="n">
        <v>46225</v>
      </c>
      <c r="DT3" s="31" t="n">
        <v>46226</v>
      </c>
      <c r="DU3" s="31" t="n">
        <v>46227</v>
      </c>
      <c r="DV3" s="31" t="n">
        <v>46228</v>
      </c>
      <c r="DW3" s="31" t="n">
        <v>46229</v>
      </c>
      <c r="DX3" s="31" t="n">
        <v>46230</v>
      </c>
      <c r="DY3" s="31" t="n">
        <v>46231</v>
      </c>
      <c r="DZ3" s="31" t="n">
        <v>46232</v>
      </c>
      <c r="EA3" s="31" t="n">
        <v>46233</v>
      </c>
      <c r="EB3" s="31" t="n">
        <v>46234</v>
      </c>
      <c r="EC3" s="31" t="n">
        <v>46235</v>
      </c>
      <c r="ED3" s="31" t="n">
        <v>46236</v>
      </c>
      <c r="EE3" s="31" t="n">
        <v>46237</v>
      </c>
      <c r="EF3" s="31" t="n">
        <v>46238</v>
      </c>
      <c r="EG3" s="31" t="n">
        <v>46239</v>
      </c>
      <c r="EH3" s="31" t="n">
        <v>46240</v>
      </c>
      <c r="EI3" s="31" t="n">
        <v>46241</v>
      </c>
      <c r="EJ3" s="31" t="n">
        <v>46242</v>
      </c>
      <c r="EK3" s="31" t="n">
        <v>46243</v>
      </c>
      <c r="EL3" s="31" t="n">
        <v>46244</v>
      </c>
      <c r="EM3" s="31" t="n">
        <v>46245</v>
      </c>
      <c r="EN3" s="31" t="n">
        <v>46246</v>
      </c>
      <c r="EO3" s="31" t="n">
        <v>46247</v>
      </c>
      <c r="EP3" s="31" t="n">
        <v>46248</v>
      </c>
      <c r="EQ3" s="31" t="n">
        <v>46249</v>
      </c>
      <c r="ER3" s="31" t="n">
        <v>46250</v>
      </c>
      <c r="ES3" s="31" t="n">
        <v>46251</v>
      </c>
      <c r="ET3" s="31" t="n">
        <v>46252</v>
      </c>
      <c r="EU3" s="31" t="n">
        <v>46253</v>
      </c>
      <c r="EV3" s="31" t="n">
        <v>46254</v>
      </c>
      <c r="EW3" s="31" t="n">
        <v>46255</v>
      </c>
      <c r="EX3" s="31" t="n">
        <v>46256</v>
      </c>
      <c r="EY3" s="31" t="n">
        <v>46257</v>
      </c>
      <c r="EZ3" s="31" t="n">
        <v>46258</v>
      </c>
      <c r="FA3" s="31" t="n">
        <v>46259</v>
      </c>
      <c r="FB3" s="31" t="n">
        <v>46260</v>
      </c>
      <c r="FC3" s="31" t="n">
        <v>46261</v>
      </c>
      <c r="FD3" s="31" t="n">
        <v>46262</v>
      </c>
      <c r="FE3" s="31" t="n">
        <v>46263</v>
      </c>
      <c r="FF3" s="31" t="n">
        <v>46264</v>
      </c>
      <c r="FG3" s="31" t="n">
        <v>46265</v>
      </c>
      <c r="FH3" s="31" t="n">
        <v>46266</v>
      </c>
      <c r="FI3" s="31" t="n">
        <v>46267</v>
      </c>
      <c r="FJ3" s="31" t="n">
        <v>46268</v>
      </c>
      <c r="FK3" s="31" t="n">
        <v>46269</v>
      </c>
      <c r="FL3" s="31" t="n">
        <v>46270</v>
      </c>
      <c r="FM3" s="31" t="n">
        <v>46271</v>
      </c>
      <c r="FN3" s="31" t="n">
        <v>46272</v>
      </c>
      <c r="FO3" s="31" t="n">
        <v>46273</v>
      </c>
      <c r="FP3" s="31" t="n">
        <v>46274</v>
      </c>
      <c r="FQ3" s="31" t="n">
        <v>46275</v>
      </c>
      <c r="FR3" s="31" t="n">
        <v>46276</v>
      </c>
      <c r="FS3" s="31" t="n">
        <v>46277</v>
      </c>
      <c r="FT3" s="31" t="n">
        <v>46278</v>
      </c>
      <c r="FU3" s="31" t="n">
        <v>46279</v>
      </c>
      <c r="FV3" s="31" t="n">
        <v>46280</v>
      </c>
      <c r="FW3" s="31" t="n">
        <v>46281</v>
      </c>
      <c r="FX3" s="31" t="n">
        <v>46282</v>
      </c>
      <c r="FY3" s="31" t="n">
        <v>46283</v>
      </c>
      <c r="FZ3" s="31" t="n">
        <v>46284</v>
      </c>
      <c r="GA3" s="31" t="n">
        <v>46285</v>
      </c>
      <c r="GB3" s="31" t="n">
        <v>46286</v>
      </c>
      <c r="GC3" s="31" t="n">
        <v>46287</v>
      </c>
      <c r="GD3" s="31" t="n">
        <v>46288</v>
      </c>
      <c r="GE3" s="31" t="n">
        <v>46289</v>
      </c>
      <c r="GF3" s="31" t="n">
        <v>46290</v>
      </c>
      <c r="GG3" s="31" t="n">
        <v>46291</v>
      </c>
      <c r="GH3" s="31" t="n">
        <v>46292</v>
      </c>
      <c r="GI3" s="31" t="n">
        <v>46293</v>
      </c>
      <c r="GJ3" s="31" t="n">
        <v>46294</v>
      </c>
      <c r="GK3" s="31" t="n">
        <v>46295</v>
      </c>
      <c r="GL3" s="31" t="n">
        <v>46296</v>
      </c>
      <c r="GM3" s="31" t="n">
        <v>46297</v>
      </c>
      <c r="GN3" s="31" t="n">
        <v>46298</v>
      </c>
      <c r="GO3" s="31" t="n">
        <v>46299</v>
      </c>
      <c r="GP3" s="31" t="n">
        <v>46300</v>
      </c>
      <c r="GQ3" s="31" t="n">
        <v>46301</v>
      </c>
      <c r="GR3" s="31" t="n">
        <v>46302</v>
      </c>
      <c r="GS3" s="31" t="n">
        <v>46303</v>
      </c>
      <c r="GT3" s="31" t="n">
        <v>46304</v>
      </c>
      <c r="GU3" s="31" t="n">
        <v>46305</v>
      </c>
      <c r="GV3" s="31" t="n">
        <v>46306</v>
      </c>
      <c r="GW3" s="31" t="n">
        <v>46307</v>
      </c>
      <c r="GX3" s="31" t="n">
        <v>46308</v>
      </c>
      <c r="GY3" s="31" t="n">
        <v>46309</v>
      </c>
      <c r="GZ3" s="31" t="n">
        <v>46310</v>
      </c>
      <c r="HA3" s="31" t="n">
        <v>46311</v>
      </c>
      <c r="HB3" s="31" t="n">
        <v>46312</v>
      </c>
      <c r="HC3" s="31" t="n">
        <v>46313</v>
      </c>
      <c r="HD3" s="31" t="n">
        <v>46314</v>
      </c>
      <c r="HE3" s="31" t="n">
        <v>46315</v>
      </c>
      <c r="HF3" s="31" t="n">
        <v>46316</v>
      </c>
      <c r="HG3" s="31" t="n">
        <v>46317</v>
      </c>
      <c r="HH3" s="31" t="n">
        <v>46318</v>
      </c>
      <c r="HI3" s="31" t="n">
        <v>46319</v>
      </c>
      <c r="HJ3" s="31" t="n">
        <v>46320</v>
      </c>
      <c r="HK3" s="31" t="n">
        <v>46321</v>
      </c>
      <c r="HL3" s="31" t="n">
        <v>46322</v>
      </c>
      <c r="HM3" s="31" t="n">
        <v>46323</v>
      </c>
      <c r="HN3" s="31" t="n">
        <v>46324</v>
      </c>
      <c r="HO3" s="31" t="n">
        <v>46325</v>
      </c>
      <c r="HP3" s="31" t="n">
        <v>46326</v>
      </c>
      <c r="HQ3" s="31" t="n">
        <v>46327</v>
      </c>
      <c r="HR3" s="31" t="n">
        <v>46328</v>
      </c>
      <c r="HS3" s="31" t="n">
        <v>46329</v>
      </c>
      <c r="HT3" s="31" t="n">
        <v>46330</v>
      </c>
      <c r="HU3" s="31" t="n">
        <v>46331</v>
      </c>
      <c r="HV3" s="31" t="n">
        <v>46332</v>
      </c>
      <c r="HW3" s="31" t="n">
        <v>46333</v>
      </c>
      <c r="HX3" s="31" t="n">
        <v>46334</v>
      </c>
      <c r="HY3" s="31" t="n">
        <v>46335</v>
      </c>
      <c r="HZ3" s="31" t="n">
        <v>46336</v>
      </c>
      <c r="IA3" s="31" t="n">
        <v>46337</v>
      </c>
      <c r="IB3" s="31" t="n">
        <v>46338</v>
      </c>
      <c r="IC3" s="31" t="n">
        <v>46339</v>
      </c>
      <c r="ID3" s="31" t="n">
        <v>46340</v>
      </c>
      <c r="IE3" s="31" t="n">
        <v>46341</v>
      </c>
      <c r="IF3" s="31" t="n">
        <v>46342</v>
      </c>
      <c r="IG3" s="31" t="n">
        <v>46343</v>
      </c>
      <c r="IH3" s="31" t="n">
        <v>46344</v>
      </c>
      <c r="II3" s="31" t="n">
        <v>46345</v>
      </c>
      <c r="IJ3" s="31" t="n">
        <v>46346</v>
      </c>
      <c r="IK3" s="31" t="n">
        <v>46347</v>
      </c>
      <c r="IL3" s="31" t="n">
        <v>46348</v>
      </c>
      <c r="IM3" s="31" t="n">
        <v>46349</v>
      </c>
      <c r="IN3" s="31" t="n">
        <v>46350</v>
      </c>
      <c r="IO3" s="31" t="n">
        <v>46351</v>
      </c>
      <c r="IP3" s="31" t="n">
        <v>46352</v>
      </c>
      <c r="IQ3" s="31" t="n">
        <v>46353</v>
      </c>
      <c r="IR3" s="31" t="n">
        <v>46354</v>
      </c>
      <c r="IS3" s="31" t="n">
        <v>46355</v>
      </c>
      <c r="IT3" s="31" t="n">
        <v>46356</v>
      </c>
      <c r="IU3" s="31" t="n">
        <v>46357</v>
      </c>
      <c r="IV3" s="31" t="n">
        <v>46358</v>
      </c>
      <c r="IW3" s="31" t="n">
        <v>46359</v>
      </c>
      <c r="IX3" s="31" t="n">
        <v>46360</v>
      </c>
      <c r="IY3" s="31" t="n">
        <v>46361</v>
      </c>
      <c r="IZ3" s="31" t="n">
        <v>46362</v>
      </c>
      <c r="JA3" s="31" t="n">
        <v>46363</v>
      </c>
      <c r="JB3" s="31" t="n">
        <v>46364</v>
      </c>
      <c r="JC3" s="31" t="n">
        <v>46365</v>
      </c>
      <c r="JD3" s="31" t="n">
        <v>46366</v>
      </c>
      <c r="JE3" s="31" t="n">
        <v>46367</v>
      </c>
      <c r="JF3" s="31" t="n">
        <v>46368</v>
      </c>
      <c r="JG3" s="31" t="n">
        <v>46369</v>
      </c>
      <c r="JH3" s="31" t="n">
        <v>46370</v>
      </c>
      <c r="JI3" s="31" t="n">
        <v>46371</v>
      </c>
      <c r="JJ3" s="31" t="n">
        <v>46372</v>
      </c>
      <c r="JK3" s="31" t="n">
        <v>46373</v>
      </c>
      <c r="JL3" s="31" t="n">
        <v>46374</v>
      </c>
      <c r="JM3" s="31" t="n">
        <v>46375</v>
      </c>
      <c r="JN3" s="31" t="n">
        <v>46376</v>
      </c>
      <c r="JO3" s="31" t="n">
        <v>46377</v>
      </c>
      <c r="JP3" s="31" t="n">
        <v>46378</v>
      </c>
      <c r="JQ3" s="31" t="n">
        <v>46379</v>
      </c>
      <c r="JR3" s="31" t="n">
        <v>46380</v>
      </c>
      <c r="JS3" s="31" t="n">
        <v>46381</v>
      </c>
      <c r="JT3" s="31" t="n">
        <v>46382</v>
      </c>
      <c r="JU3" s="31" t="n">
        <v>46383</v>
      </c>
      <c r="JV3" s="31" t="n">
        <v>46384</v>
      </c>
      <c r="JW3" s="31" t="n">
        <v>46385</v>
      </c>
      <c r="JX3" s="31" t="n">
        <v>46386</v>
      </c>
      <c r="JY3" s="31" t="n">
        <v>46387</v>
      </c>
      <c r="JZ3" s="31" t="n">
        <v>46388</v>
      </c>
      <c r="KA3" s="31" t="n">
        <v>46389</v>
      </c>
      <c r="KB3" s="31" t="n">
        <v>46390</v>
      </c>
      <c r="KC3" s="31" t="n">
        <v>46391</v>
      </c>
      <c r="KD3" s="31" t="n">
        <v>46392</v>
      </c>
      <c r="KE3" s="31" t="n">
        <v>46393</v>
      </c>
      <c r="KF3" s="31" t="n">
        <v>46394</v>
      </c>
      <c r="KG3" s="31" t="n">
        <v>46395</v>
      </c>
      <c r="KH3" s="31" t="n">
        <v>46396</v>
      </c>
      <c r="KI3" s="31" t="n">
        <v>46397</v>
      </c>
      <c r="KJ3" s="31" t="n">
        <v>46398</v>
      </c>
      <c r="KK3" s="31" t="n">
        <v>46399</v>
      </c>
      <c r="KL3" s="31" t="n">
        <v>46400</v>
      </c>
      <c r="KM3" s="31" t="n">
        <v>46401</v>
      </c>
      <c r="KN3" s="31" t="n">
        <v>46402</v>
      </c>
      <c r="KO3" s="31" t="n">
        <v>46403</v>
      </c>
      <c r="KP3" s="31" t="n">
        <v>46404</v>
      </c>
      <c r="KQ3" s="31" t="n">
        <v>46405</v>
      </c>
      <c r="KR3" s="31" t="n">
        <v>46406</v>
      </c>
      <c r="KS3" s="31" t="n">
        <v>46407</v>
      </c>
      <c r="KT3" s="31" t="n">
        <v>46408</v>
      </c>
      <c r="KU3" s="31" t="n">
        <v>46409</v>
      </c>
      <c r="KV3" s="31" t="n">
        <v>46410</v>
      </c>
      <c r="KW3" s="31" t="n">
        <v>46411</v>
      </c>
      <c r="KX3" s="31" t="n">
        <v>46412</v>
      </c>
      <c r="KY3" s="31" t="n">
        <v>46413</v>
      </c>
      <c r="KZ3" s="31" t="n">
        <v>46414</v>
      </c>
      <c r="LA3" s="31" t="n">
        <v>46415</v>
      </c>
      <c r="LB3" s="31" t="n">
        <v>46416</v>
      </c>
      <c r="LC3" s="31" t="n">
        <v>46417</v>
      </c>
      <c r="LD3" s="31" t="n">
        <v>46418</v>
      </c>
      <c r="LE3" s="31" t="n">
        <v>46419</v>
      </c>
      <c r="LF3" s="31" t="n">
        <v>46420</v>
      </c>
      <c r="LG3" s="31" t="n">
        <v>46421</v>
      </c>
      <c r="LH3" s="31" t="n">
        <v>46422</v>
      </c>
      <c r="LI3" s="31" t="n">
        <v>46423</v>
      </c>
      <c r="LJ3" s="31" t="n">
        <v>46424</v>
      </c>
      <c r="LK3" s="31" t="n">
        <v>46425</v>
      </c>
      <c r="LL3" s="31" t="n">
        <v>46426</v>
      </c>
      <c r="LM3" s="31" t="n">
        <v>46427</v>
      </c>
      <c r="LN3" s="31" t="n">
        <v>46428</v>
      </c>
      <c r="LO3" s="31" t="n">
        <v>46429</v>
      </c>
      <c r="LP3" s="31" t="n">
        <v>46430</v>
      </c>
      <c r="LQ3" s="31" t="n">
        <v>46431</v>
      </c>
      <c r="LR3" s="31" t="n">
        <v>46432</v>
      </c>
      <c r="LS3" s="31" t="n">
        <v>46433</v>
      </c>
      <c r="LT3" s="31" t="n">
        <v>46434</v>
      </c>
      <c r="LU3" s="31" t="n">
        <v>46435</v>
      </c>
      <c r="LV3" s="31" t="n">
        <v>46436</v>
      </c>
      <c r="LW3" s="31" t="n">
        <v>46437</v>
      </c>
      <c r="LX3" s="31" t="n">
        <v>46438</v>
      </c>
      <c r="LY3" s="31" t="n">
        <v>46439</v>
      </c>
      <c r="LZ3" s="31" t="n">
        <v>46440</v>
      </c>
      <c r="MA3" s="31" t="n">
        <v>46441</v>
      </c>
      <c r="MB3" s="31" t="n">
        <v>46442</v>
      </c>
      <c r="MC3" s="31" t="n">
        <v>46443</v>
      </c>
      <c r="MD3" s="31" t="n">
        <v>46444</v>
      </c>
      <c r="ME3" s="31" t="n">
        <v>46445</v>
      </c>
      <c r="MF3" s="31" t="n">
        <v>46446</v>
      </c>
      <c r="MG3" s="31" t="n">
        <v>46447</v>
      </c>
      <c r="MH3" s="31" t="n">
        <v>46448</v>
      </c>
      <c r="MI3" s="31" t="n">
        <v>46449</v>
      </c>
      <c r="MJ3" s="31" t="n">
        <v>46450</v>
      </c>
      <c r="MK3" s="31" t="n">
        <v>46451</v>
      </c>
      <c r="ML3" s="31" t="n">
        <v>46452</v>
      </c>
      <c r="MM3" s="31" t="n">
        <v>46453</v>
      </c>
      <c r="MN3" s="31" t="n">
        <v>46454</v>
      </c>
      <c r="MO3" s="31" t="n">
        <v>46455</v>
      </c>
      <c r="MP3" s="31" t="n">
        <v>46456</v>
      </c>
      <c r="MQ3" s="31" t="n">
        <v>46457</v>
      </c>
      <c r="MR3" s="31" t="n">
        <v>46458</v>
      </c>
      <c r="MS3" s="31" t="n">
        <v>46459</v>
      </c>
      <c r="MT3" s="31" t="n">
        <v>46460</v>
      </c>
      <c r="MU3" s="31" t="n">
        <v>46461</v>
      </c>
      <c r="MV3" s="31" t="n">
        <v>46462</v>
      </c>
      <c r="MW3" s="31" t="n">
        <v>46463</v>
      </c>
      <c r="MX3" s="31" t="n">
        <v>46464</v>
      </c>
      <c r="MY3" s="31" t="n">
        <v>46465</v>
      </c>
      <c r="MZ3" s="31" t="n">
        <v>46466</v>
      </c>
      <c r="NA3" s="31" t="n">
        <v>46467</v>
      </c>
    </row>
    <row r="4" s="30" customFormat="true" ht="15" hidden="false" customHeight="true" outlineLevel="0" collapsed="false">
      <c r="A4" s="30" t="s">
        <v>94</v>
      </c>
      <c r="B4" s="1" t="str">
        <f aca="false" t="array" ref="B4:B4">IFERROR(INDEX(KEY!$D$2:$D$23, MATCH(TRUE(), _xlfn.byrow(KEY!$F$2:$I$23, _xlfn.lambda(_xlpm.r, COUNTIF(_xlpm.r, C4)&gt;0)), 0)), "")</f>
        <v/>
      </c>
      <c r="C4" s="1" t="s">
        <v>16</v>
      </c>
      <c r="D4" s="33" t="n">
        <v>46113</v>
      </c>
      <c r="E4" s="3" t="n">
        <v>10</v>
      </c>
      <c r="F4" s="34" t="n">
        <f aca="false">WORKDAY(D4,E4-1)</f>
        <v>46126</v>
      </c>
      <c r="G4" s="1"/>
      <c r="H4" s="1"/>
      <c r="I4" s="35"/>
      <c r="J4" s="35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5"/>
      <c r="AD4" s="35"/>
      <c r="AE4" s="35"/>
      <c r="AF4" s="35"/>
      <c r="AG4" s="35"/>
      <c r="AH4" s="35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</row>
    <row r="5" customFormat="false" ht="14.25" hidden="false" customHeight="false" outlineLevel="0" collapsed="false">
      <c r="B5" s="1" t="str">
        <f aca="false" t="array" ref="B5:B5">IFERROR(INDEX(KEY!$D$2:$D$23, MATCH(TRUE(), _xlfn.byrow(KEY!$F$2:$I$23, _xlfn.lambda(_xlpm.r, COUNTIF(_xlpm.r, C5)&gt;0)), 0)), "")</f>
        <v/>
      </c>
      <c r="C5" s="1" t="s">
        <v>17</v>
      </c>
      <c r="D5" s="34" t="n">
        <f aca="false">_xlfn.XLOOKUP(G5,$C:$C,$F:$F)+1</f>
        <v>46127</v>
      </c>
      <c r="E5" s="3" t="n">
        <v>3</v>
      </c>
      <c r="F5" s="34" t="n">
        <f aca="false">WORKDAY(D5,E5-1)</f>
        <v>46129</v>
      </c>
      <c r="G5" s="1" t="s">
        <v>16</v>
      </c>
      <c r="H5" s="1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</row>
    <row r="6" customFormat="false" ht="14.25" hidden="false" customHeight="false" outlineLevel="0" collapsed="false">
      <c r="B6" s="1" t="str">
        <f aca="false" t="array" ref="B6:B6">IFERROR(INDEX(KEY!$D$2:$D$23, MATCH(TRUE(), _xlfn.byrow(KEY!$F$2:$I$23, _xlfn.lambda(_xlpm.r, COUNTIF(_xlpm.r, C6)&gt;0)), 0)), "")</f>
        <v/>
      </c>
      <c r="C6" s="1" t="s">
        <v>18</v>
      </c>
      <c r="D6" s="34" t="n">
        <f aca="false">_xlfn.XLOOKUP(G6,$C:$C,$F:$F)+1</f>
        <v>46130</v>
      </c>
      <c r="E6" s="3" t="n">
        <v>2</v>
      </c>
      <c r="F6" s="34" t="n">
        <f aca="false">WORKDAY(D6,E6-1)</f>
        <v>46132</v>
      </c>
      <c r="G6" s="1" t="s">
        <v>17</v>
      </c>
      <c r="H6" s="1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</row>
    <row r="7" customFormat="false" ht="14.25" hidden="false" customHeight="false" outlineLevel="0" collapsed="false">
      <c r="B7" s="1" t="str">
        <f aca="false" t="array" ref="B7:B7">IFERROR(INDEX(KEY!$D$2:$D$23, MATCH(TRUE(), _xlfn.byrow(KEY!$F$2:$I$23, _xlfn.lambda(_xlpm.r, COUNTIF(_xlpm.r, C7)&gt;0)), 0)), "")</f>
        <v/>
      </c>
      <c r="C7" s="1" t="s">
        <v>12</v>
      </c>
      <c r="D7" s="34" t="n">
        <f aca="false">_xlfn.XLOOKUP(G7,$C:$C,$F:$F)+1</f>
        <v>46133</v>
      </c>
      <c r="E7" s="3" t="n">
        <v>4</v>
      </c>
      <c r="F7" s="34" t="n">
        <f aca="false">WORKDAY(D7,E7-1)</f>
        <v>46136</v>
      </c>
      <c r="G7" s="1" t="s">
        <v>18</v>
      </c>
      <c r="H7" s="1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</row>
    <row r="8" customFormat="false" ht="14.25" hidden="false" customHeight="false" outlineLevel="0" collapsed="false">
      <c r="B8" s="1" t="str">
        <f aca="false" t="array" ref="B8:B8">IFERROR(INDEX(KEY!$D$2:$D$23, MATCH(TRUE(), _xlfn.byrow(KEY!$F$2:$I$23, _xlfn.lambda(_xlpm.r, COUNTIF(_xlpm.r, C8)&gt;0)), 0)), "")</f>
        <v/>
      </c>
      <c r="C8" s="1" t="s">
        <v>22</v>
      </c>
      <c r="D8" s="34" t="n">
        <f aca="false">_xlfn.XLOOKUP(G8,$C:$C,$F:$F)+1</f>
        <v>46137</v>
      </c>
      <c r="E8" s="3" t="n">
        <v>10</v>
      </c>
      <c r="F8" s="34" t="n">
        <f aca="false">WORKDAY(D8,E8-1)</f>
        <v>46149</v>
      </c>
      <c r="G8" s="1" t="s">
        <v>12</v>
      </c>
      <c r="H8" s="1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</row>
    <row r="9" customFormat="false" ht="14.25" hidden="false" customHeight="false" outlineLevel="0" collapsed="false">
      <c r="B9" s="1" t="str">
        <f aca="false" t="array" ref="B9:B9">IFERROR(INDEX(KEY!$D$2:$D$23, MATCH(TRUE(), _xlfn.byrow(KEY!$F$2:$I$23, _xlfn.lambda(_xlpm.r, COUNTIF(_xlpm.r, C9)&gt;0)), 0)), "")</f>
        <v/>
      </c>
      <c r="C9" s="1" t="s">
        <v>72</v>
      </c>
      <c r="D9" s="34" t="n">
        <f aca="false">_xlfn.XLOOKUP(G9,$C:$C,$F:$F)+1</f>
        <v>46150</v>
      </c>
      <c r="E9" s="3" t="n">
        <v>2</v>
      </c>
      <c r="F9" s="34" t="n">
        <f aca="false">WORKDAY(D9,E9-1)</f>
        <v>46153</v>
      </c>
      <c r="G9" s="1" t="s">
        <v>22</v>
      </c>
      <c r="H9" s="1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</row>
    <row r="10" customFormat="false" ht="14.25" hidden="false" customHeight="false" outlineLevel="0" collapsed="false">
      <c r="B10" s="1" t="str">
        <f aca="false" t="array" ref="B10:B10">IFERROR(INDEX(KEY!$D$2:$D$23, MATCH(TRUE(), _xlfn.byrow(KEY!$F$2:$T$23, _xlfn.lambda(_xlpm.r, COUNTIF(_xlpm.r, C10)&gt;0)), 0)), "")</f>
        <v/>
      </c>
      <c r="C10" s="1" t="s">
        <v>47</v>
      </c>
      <c r="D10" s="34" t="n">
        <f aca="false">_xlfn.XLOOKUP(G10,$C:$C,$F:$F)+1</f>
        <v>46150</v>
      </c>
      <c r="E10" s="3" t="n">
        <v>2</v>
      </c>
      <c r="F10" s="34" t="n">
        <f aca="false">WORKDAY(D10,E10-1)</f>
        <v>46153</v>
      </c>
      <c r="G10" s="1" t="s">
        <v>22</v>
      </c>
      <c r="H10" s="1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</row>
    <row r="11" customFormat="false" ht="14.25" hidden="false" customHeight="false" outlineLevel="0" collapsed="false">
      <c r="B11" s="1" t="str">
        <f aca="false" t="array" ref="B11:B11">IFERROR(INDEX(KEY!$D$2:$D$23, MATCH(TRUE(), _xlfn.byrow(KEY!$F$2:$T$23, _xlfn.lambda(_xlpm.r, COUNTIF(_xlpm.r, C11)&gt;0)), 0)), "")</f>
        <v/>
      </c>
      <c r="C11" s="1" t="s">
        <v>95</v>
      </c>
      <c r="D11" s="34" t="n">
        <f aca="false">_xlfn.XLOOKUP(G11,$C:$C,$F:$F)+1</f>
        <v>46154</v>
      </c>
      <c r="E11" s="3" t="n">
        <v>2</v>
      </c>
      <c r="F11" s="34" t="n">
        <f aca="false">WORKDAY(D11,E11-1)</f>
        <v>46155</v>
      </c>
      <c r="G11" s="1" t="s">
        <v>47</v>
      </c>
      <c r="H11" s="1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</row>
    <row r="12" customFormat="false" ht="14.25" hidden="false" customHeight="false" outlineLevel="0" collapsed="false">
      <c r="B12" s="1" t="str">
        <f aca="false" t="array" ref="B12:B12">IFERROR(INDEX(KEY!$D$2:$D$23, MATCH(TRUE(), _xlfn.byrow(KEY!$F$2:$I$23, _xlfn.lambda(_xlpm.r, COUNTIF(_xlpm.r, C12)&gt;0)), 0)), "")</f>
        <v/>
      </c>
      <c r="C12" s="1" t="s">
        <v>36</v>
      </c>
      <c r="D12" s="34" t="n">
        <f aca="false">_xlfn.XLOOKUP(G12,$C:$C,$F:$F)+1</f>
        <v>46156</v>
      </c>
      <c r="E12" s="3" t="n">
        <v>2</v>
      </c>
      <c r="F12" s="34" t="n">
        <f aca="false">WORKDAY(D12,E12-1)</f>
        <v>46157</v>
      </c>
      <c r="G12" s="1" t="s">
        <v>95</v>
      </c>
      <c r="H12" s="1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</row>
    <row r="13" customFormat="false" ht="14.25" hidden="false" customHeight="false" outlineLevel="0" collapsed="false">
      <c r="B13" s="1" t="str">
        <f aca="false" t="array" ref="B13:B13">IFERROR(INDEX(KEY!$D$2:$D$23, MATCH(TRUE(), _xlfn.byrow(KEY!$F$2:$I$23, _xlfn.lambda(_xlpm.r, COUNTIF(_xlpm.r, C13)&gt;0)), 0)), "")</f>
        <v/>
      </c>
      <c r="C13" s="1" t="s">
        <v>40</v>
      </c>
      <c r="D13" s="34" t="n">
        <f aca="false">_xlfn.XLOOKUP(G13,$C:$C,$F:$F)+1</f>
        <v>46156</v>
      </c>
      <c r="E13" s="3" t="n">
        <v>5</v>
      </c>
      <c r="F13" s="34" t="n">
        <f aca="false">WORKDAY(D13,E13-1)</f>
        <v>46162</v>
      </c>
      <c r="G13" s="1" t="s">
        <v>95</v>
      </c>
      <c r="H13" s="1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</row>
    <row r="14" customFormat="false" ht="14.25" hidden="false" customHeight="false" outlineLevel="0" collapsed="false">
      <c r="B14" s="1" t="str">
        <f aca="false" t="array" ref="B14:B14">IFERROR(INDEX(KEY!$D$2:$D$23, MATCH(TRUE(), _xlfn.byrow(KEY!$F$2:$I$23, _xlfn.lambda(_xlpm.r, COUNTIF(_xlpm.r, C14)&gt;0)), 0)), "")</f>
        <v/>
      </c>
      <c r="C14" s="1" t="s">
        <v>31</v>
      </c>
      <c r="D14" s="34" t="n">
        <f aca="false">_xlfn.XLOOKUP(G14,$C:$C,$F:$F)+1</f>
        <v>46156</v>
      </c>
      <c r="E14" s="3" t="n">
        <v>2</v>
      </c>
      <c r="F14" s="34" t="n">
        <f aca="false">WORKDAY(D14,E14-1)</f>
        <v>46157</v>
      </c>
      <c r="G14" s="1" t="s">
        <v>95</v>
      </c>
      <c r="H14" s="1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</row>
    <row r="15" customFormat="false" ht="14.25" hidden="false" customHeight="false" outlineLevel="0" collapsed="false">
      <c r="B15" s="1" t="str">
        <f aca="false" t="array" ref="B15:B15">IFERROR(INDEX(KEY!$D$2:$D$23, MATCH(TRUE(), _xlfn.byrow(KEY!$F$2:$I$23, _xlfn.lambda(_xlpm.r, COUNTIF(_xlpm.r, C15)&gt;0)), 0)), "")</f>
        <v/>
      </c>
      <c r="C15" s="1" t="s">
        <v>13</v>
      </c>
      <c r="D15" s="34" t="n">
        <f aca="false">_xlfn.XLOOKUP(G15,$C:$C,$F:$F)+1</f>
        <v>46163</v>
      </c>
      <c r="E15" s="3" t="n">
        <v>4</v>
      </c>
      <c r="F15" s="34" t="n">
        <f aca="false">WORKDAY(D15,E15-1)</f>
        <v>46168</v>
      </c>
      <c r="G15" s="1" t="s">
        <v>40</v>
      </c>
      <c r="H15" s="1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</row>
    <row r="16" customFormat="false" ht="14.25" hidden="false" customHeight="false" outlineLevel="0" collapsed="false">
      <c r="B16" s="1" t="str">
        <f aca="false" t="array" ref="B16:B16">IFERROR(INDEX(KEY!$D$2:$D$23, MATCH(TRUE(), _xlfn.byrow(KEY!$F$2:$I$23, _xlfn.lambda(_xlpm.r, COUNTIF(_xlpm.r, C16)&gt;0)), 0)), "")</f>
        <v/>
      </c>
      <c r="C16" s="1" t="s">
        <v>26</v>
      </c>
      <c r="D16" s="34" t="n">
        <f aca="false">_xlfn.XLOOKUP(G16,$C:$C,$F:$F)+1</f>
        <v>46169</v>
      </c>
      <c r="E16" s="3" t="n">
        <v>30</v>
      </c>
      <c r="F16" s="34" t="n">
        <f aca="false">WORKDAY(D16,E16-1)</f>
        <v>46210</v>
      </c>
      <c r="G16" s="1" t="s">
        <v>13</v>
      </c>
      <c r="H16" s="1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</row>
    <row r="17" customFormat="false" ht="14.25" hidden="false" customHeight="false" outlineLevel="0" collapsed="false">
      <c r="B17" s="1" t="str">
        <f aca="false" t="array" ref="B17:B17">IFERROR(INDEX(KEY!$D$2:$D$23, MATCH(TRUE(), _xlfn.byrow(KEY!$F$2:$I$23, _xlfn.lambda(_xlpm.r, COUNTIF(_xlpm.r, C17)&gt;0)), 0)), "")</f>
        <v/>
      </c>
      <c r="C17" s="1" t="s">
        <v>29</v>
      </c>
      <c r="D17" s="34" t="n">
        <f aca="false">_xlfn.XLOOKUP(G17,$C:$C,$F:$F)+1</f>
        <v>46211</v>
      </c>
      <c r="E17" s="3" t="n">
        <v>4</v>
      </c>
      <c r="F17" s="34" t="n">
        <f aca="false">WORKDAY(D17,E17-1)</f>
        <v>46216</v>
      </c>
      <c r="G17" s="1" t="s">
        <v>26</v>
      </c>
      <c r="H17" s="1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</row>
    <row r="18" customFormat="false" ht="14.25" hidden="false" customHeight="false" outlineLevel="0" collapsed="false">
      <c r="B18" s="1" t="str">
        <f aca="false" t="array" ref="B18:B18">IFERROR(INDEX(KEY!$D$2:$D$23, MATCH(TRUE(), _xlfn.byrow(KEY!$F$2:$I$23, _xlfn.lambda(_xlpm.r, COUNTIF(_xlpm.r, C18)&gt;0)), 0)), "")</f>
        <v/>
      </c>
      <c r="C18" s="1" t="s">
        <v>23</v>
      </c>
      <c r="D18" s="34" t="n">
        <f aca="false">_xlfn.XLOOKUP(G18,$C:$C,$F:$F)+1</f>
        <v>46217</v>
      </c>
      <c r="E18" s="3" t="n">
        <v>20</v>
      </c>
      <c r="F18" s="34" t="n">
        <f aca="false">WORKDAY(D18,E18-1)</f>
        <v>46244</v>
      </c>
      <c r="G18" s="1" t="s">
        <v>29</v>
      </c>
      <c r="H18" s="1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</row>
    <row r="19" customFormat="false" ht="14.25" hidden="false" customHeight="false" outlineLevel="0" collapsed="false">
      <c r="B19" s="1" t="str">
        <f aca="false" t="array" ref="B19:B19">IFERROR(INDEX(KEY!$D$2:$D$23, MATCH(TRUE(), _xlfn.byrow(KEY!$F$2:$I$23, _xlfn.lambda(_xlpm.r, COUNTIF(_xlpm.r, C19)&gt;0)), 0)), "")</f>
        <v/>
      </c>
      <c r="C19" s="1" t="s">
        <v>24</v>
      </c>
      <c r="D19" s="34" t="n">
        <f aca="false">_xlfn.XLOOKUP(G19,$C:$C,$F:$F)+1</f>
        <v>46217</v>
      </c>
      <c r="E19" s="3" t="n">
        <v>20</v>
      </c>
      <c r="F19" s="34" t="n">
        <f aca="false">WORKDAY(D19,E19-1)</f>
        <v>46244</v>
      </c>
      <c r="G19" s="1" t="s">
        <v>29</v>
      </c>
      <c r="H19" s="1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</row>
    <row r="20" customFormat="false" ht="14.25" hidden="false" customHeight="false" outlineLevel="0" collapsed="false">
      <c r="B20" s="1" t="str">
        <f aca="false" t="array" ref="B20:B20">IFERROR(INDEX(KEY!$D$2:$D$23, MATCH(TRUE(), _xlfn.byrow(KEY!$F$2:$I$23, _xlfn.lambda(_xlpm.r, COUNTIF(_xlpm.r, C20)&gt;0)), 0)), "")</f>
        <v/>
      </c>
      <c r="C20" s="1" t="s">
        <v>27</v>
      </c>
      <c r="D20" s="34" t="n">
        <f aca="false">_xlfn.XLOOKUP(G20,$C:$C,$F:$F)+1</f>
        <v>46217</v>
      </c>
      <c r="E20" s="3" t="n">
        <v>20</v>
      </c>
      <c r="F20" s="34" t="n">
        <f aca="false">WORKDAY(D20,E20-1)</f>
        <v>46244</v>
      </c>
      <c r="G20" s="1" t="s">
        <v>29</v>
      </c>
      <c r="H20" s="1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</row>
    <row r="21" customFormat="false" ht="14.25" hidden="false" customHeight="false" outlineLevel="0" collapsed="false">
      <c r="B21" s="1" t="str">
        <f aca="false" t="array" ref="B21:B21">IFERROR(INDEX(KEY!$D$2:$D$23, MATCH(TRUE(), _xlfn.byrow(KEY!$F$2:$I$23, _xlfn.lambda(_xlpm.r, COUNTIF(_xlpm.r, C21)&gt;0)), 0)), "")</f>
        <v/>
      </c>
      <c r="C21" s="1" t="s">
        <v>96</v>
      </c>
      <c r="D21" s="34" t="n">
        <f aca="false">_xlfn.XLOOKUP(G21,$C:$C,$F:$F)+1</f>
        <v>46245</v>
      </c>
      <c r="E21" s="3" t="n">
        <v>2</v>
      </c>
      <c r="F21" s="34" t="n">
        <f aca="false">WORKDAY(D21,E21-1)</f>
        <v>46246</v>
      </c>
      <c r="G21" s="1" t="s">
        <v>23</v>
      </c>
      <c r="H21" s="1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</row>
    <row r="22" customFormat="false" ht="14.25" hidden="false" customHeight="false" outlineLevel="0" collapsed="false">
      <c r="B22" s="1" t="str">
        <f aca="false" t="array" ref="B22:B22">IFERROR(INDEX(KEY!$D$2:$D$23, MATCH(TRUE(), _xlfn.byrow(KEY!$F$2:$I$23, _xlfn.lambda(_xlpm.r, COUNTIF(_xlpm.r, C22)&gt;0)), 0)), "")</f>
        <v/>
      </c>
      <c r="C22" s="1" t="s">
        <v>75</v>
      </c>
      <c r="D22" s="34" t="n">
        <f aca="false">_xlfn.XLOOKUP(G22,$C:$C,$F:$F)+1</f>
        <v>46247</v>
      </c>
      <c r="E22" s="3" t="n">
        <v>2</v>
      </c>
      <c r="F22" s="34" t="n">
        <f aca="false">WORKDAY(D22,E22-1)</f>
        <v>46248</v>
      </c>
      <c r="G22" s="1" t="s">
        <v>96</v>
      </c>
      <c r="H22" s="1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</row>
    <row r="23" customFormat="false" ht="14.25" hidden="false" customHeight="false" outlineLevel="0" collapsed="false">
      <c r="B23" s="1" t="str">
        <f aca="false" t="array" ref="B23:B23">IFERROR(INDEX(KEY!$D$2:$D$23, MATCH(TRUE(), _xlfn.byrow(KEY!$F$2:$I$23, _xlfn.lambda(_xlpm.r, COUNTIF(_xlpm.r, C23)&gt;0)), 0)), "")</f>
        <v/>
      </c>
      <c r="C23" s="1" t="s">
        <v>71</v>
      </c>
      <c r="D23" s="34" t="n">
        <f aca="false">_xlfn.XLOOKUP(G23,$C:$C,$F:$F)+1</f>
        <v>46249</v>
      </c>
      <c r="E23" s="3" t="n">
        <v>2</v>
      </c>
      <c r="F23" s="34" t="n">
        <f aca="false">WORKDAY(D23,E23-1)</f>
        <v>46251</v>
      </c>
      <c r="G23" s="1" t="s">
        <v>75</v>
      </c>
      <c r="H23" s="1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</row>
    <row r="24" customFormat="false" ht="14.25" hidden="false" customHeight="false" outlineLevel="0" collapsed="false">
      <c r="B24" s="1" t="str">
        <f aca="false" t="array" ref="B24:B24">IFERROR(INDEX(KEY!$D$2:$D$23, MATCH(TRUE(), _xlfn.byrow(KEY!$F$2:$I$23, _xlfn.lambda(_xlpm.r, COUNTIF(_xlpm.r, C24)&gt;0)), 0)), "")</f>
        <v/>
      </c>
      <c r="C24" s="1" t="s">
        <v>70</v>
      </c>
      <c r="D24" s="34" t="n">
        <f aca="false">_xlfn.XLOOKUP(G24,$C:$C,$F:$F)+1</f>
        <v>46249</v>
      </c>
      <c r="E24" s="3" t="n">
        <v>2</v>
      </c>
      <c r="F24" s="34" t="n">
        <f aca="false">WORKDAY(D24,E24-1)</f>
        <v>46251</v>
      </c>
      <c r="G24" s="1" t="s">
        <v>75</v>
      </c>
      <c r="H24" s="1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</row>
    <row r="25" customFormat="false" ht="14.25" hidden="false" customHeight="false" outlineLevel="0" collapsed="false">
      <c r="B25" s="1" t="str">
        <f aca="false" t="array" ref="B25:B25">IFERROR(INDEX(KEY!$D$2:$D$23, MATCH(TRUE(), _xlfn.byrow(KEY!$F$2:$I$23, _xlfn.lambda(_xlpm.r, COUNTIF(_xlpm.r, C25)&gt;0)), 0)), "")</f>
        <v/>
      </c>
      <c r="C25" s="1" t="s">
        <v>77</v>
      </c>
      <c r="D25" s="34" t="n">
        <f aca="false">_xlfn.XLOOKUP(G25,$C:$C,$F:$F)+1</f>
        <v>46252</v>
      </c>
      <c r="E25" s="3" t="n">
        <v>2</v>
      </c>
      <c r="F25" s="34" t="n">
        <f aca="false">WORKDAY(D25,E25-1)</f>
        <v>46253</v>
      </c>
      <c r="G25" s="1" t="s">
        <v>71</v>
      </c>
      <c r="H25" s="1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</row>
    <row r="26" customFormat="false" ht="14.25" hidden="false" customHeight="false" outlineLevel="0" collapsed="false">
      <c r="B26" s="1" t="str">
        <f aca="false" t="array" ref="B26:B26">IFERROR(INDEX(KEY!$D$2:$D$23, MATCH(TRUE(), _xlfn.byrow(KEY!$F$2:$I$23, _xlfn.lambda(_xlpm.r, COUNTIF(_xlpm.r, C26)&gt;0)), 0)), "")</f>
        <v/>
      </c>
      <c r="C26" s="1" t="s">
        <v>97</v>
      </c>
      <c r="D26" s="34" t="n">
        <f aca="false">_xlfn.XLOOKUP(G26,$C:$C,$F:$F)+1</f>
        <v>46247</v>
      </c>
      <c r="E26" s="3" t="n">
        <v>2</v>
      </c>
      <c r="F26" s="34" t="n">
        <f aca="false">WORKDAY(D26,E26-1)</f>
        <v>46248</v>
      </c>
      <c r="G26" s="1" t="s">
        <v>96</v>
      </c>
      <c r="H26" s="1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</row>
    <row r="27" customFormat="false" ht="14.25" hidden="false" customHeight="false" outlineLevel="0" collapsed="false">
      <c r="B27" s="1" t="str">
        <f aca="false" t="array" ref="B27:B27">IFERROR(INDEX(KEY!$D$2:$D$23, MATCH(TRUE(), _xlfn.byrow(KEY!$F$2:$I$23, _xlfn.lambda(_xlpm.r, COUNTIF(_xlpm.r, C27)&gt;0)), 0)), "")</f>
        <v/>
      </c>
      <c r="C27" s="1" t="s">
        <v>37</v>
      </c>
      <c r="D27" s="34" t="n">
        <f aca="false">_xlfn.XLOOKUP(G27,$C:$C,$F:$F)+1</f>
        <v>46211</v>
      </c>
      <c r="E27" s="3" t="n">
        <v>5</v>
      </c>
      <c r="F27" s="34" t="n">
        <f aca="false">WORKDAY(D27,E27-1)</f>
        <v>46217</v>
      </c>
      <c r="G27" s="1" t="s">
        <v>26</v>
      </c>
      <c r="H27" s="1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</row>
    <row r="28" customFormat="false" ht="14.25" hidden="false" customHeight="false" outlineLevel="0" collapsed="false">
      <c r="B28" s="1" t="str">
        <f aca="false" t="array" ref="B28:B28">IFERROR(INDEX(KEY!$D$2:$D$23, MATCH(TRUE(), _xlfn.byrow(KEY!$F$2:$I$23, _xlfn.lambda(_xlpm.r, COUNTIF(_xlpm.r, C28)&gt;0)), 0)), "")</f>
        <v/>
      </c>
      <c r="C28" s="1" t="s">
        <v>41</v>
      </c>
      <c r="D28" s="34" t="n">
        <f aca="false">_xlfn.XLOOKUP(G28,$C:$C,$F:$F)+1</f>
        <v>46211</v>
      </c>
      <c r="E28" s="3" t="n">
        <v>5</v>
      </c>
      <c r="F28" s="34" t="n">
        <f aca="false">WORKDAY(D28,E28-1)</f>
        <v>46217</v>
      </c>
      <c r="G28" s="1" t="s">
        <v>26</v>
      </c>
      <c r="H28" s="1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</row>
    <row r="29" customFormat="false" ht="14.25" hidden="false" customHeight="false" outlineLevel="0" collapsed="false">
      <c r="B29" s="1" t="str">
        <f aca="false" t="array" ref="B29:B29">IFERROR(INDEX(KEY!$D$2:$D$23, MATCH(TRUE(), _xlfn.byrow(KEY!$F$2:$I$23, _xlfn.lambda(_xlpm.r, COUNTIF(_xlpm.r, C29)&gt;0)), 0)), "")</f>
        <v/>
      </c>
      <c r="C29" s="1" t="s">
        <v>32</v>
      </c>
      <c r="D29" s="34" t="n">
        <f aca="false">_xlfn.XLOOKUP(G29,$C:$C,$F:$F)+1</f>
        <v>46211</v>
      </c>
      <c r="E29" s="3" t="n">
        <v>10</v>
      </c>
      <c r="F29" s="34" t="n">
        <f aca="false">WORKDAY(D29,E29-1)</f>
        <v>46224</v>
      </c>
      <c r="G29" s="1" t="s">
        <v>26</v>
      </c>
      <c r="H29" s="1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</row>
    <row r="30" customFormat="false" ht="14.25" hidden="false" customHeight="false" outlineLevel="0" collapsed="false">
      <c r="B30" s="1" t="str">
        <f aca="false" t="array" ref="B30:B30">IFERROR(INDEX(KEY!$D$2:$D$23, MATCH(TRUE(), _xlfn.byrow(KEY!$F$2:$I$23, _xlfn.lambda(_xlpm.r, COUNTIF(_xlpm.r, C30)&gt;0)), 0)), "")</f>
        <v/>
      </c>
      <c r="C30" s="1" t="s">
        <v>48</v>
      </c>
      <c r="D30" s="34" t="n">
        <f aca="false">_xlfn.XLOOKUP(G30,$C:$C,$F:$F)+1</f>
        <v>46225</v>
      </c>
      <c r="E30" s="3" t="n">
        <v>2</v>
      </c>
      <c r="F30" s="34" t="n">
        <f aca="false">WORKDAY(D30,E30-1)</f>
        <v>46226</v>
      </c>
      <c r="G30" s="1" t="s">
        <v>32</v>
      </c>
      <c r="H30" s="1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</row>
    <row r="31" customFormat="false" ht="14.25" hidden="false" customHeight="false" outlineLevel="0" collapsed="false">
      <c r="B31" s="1" t="str">
        <f aca="false" t="array" ref="B31:B31">IFERROR(INDEX(KEY!$D$2:$D$23, MATCH(TRUE(), _xlfn.byrow(KEY!$F$2:$I$23, _xlfn.lambda(_xlpm.r, COUNTIF(_xlpm.r, C31)&gt;0)), 0)), "")</f>
        <v/>
      </c>
      <c r="C31" s="1" t="s">
        <v>51</v>
      </c>
      <c r="D31" s="34" t="n">
        <f aca="false">_xlfn.XLOOKUP(G31,$C:$C,$F:$F)+1</f>
        <v>46227</v>
      </c>
      <c r="E31" s="3" t="n">
        <v>15</v>
      </c>
      <c r="F31" s="34" t="n">
        <f aca="false">WORKDAY(D31,E31-1)</f>
        <v>46247</v>
      </c>
      <c r="G31" s="1" t="s">
        <v>48</v>
      </c>
      <c r="H31" s="1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</row>
    <row r="32" customFormat="false" ht="14.25" hidden="false" customHeight="false" outlineLevel="0" collapsed="false">
      <c r="B32" s="1" t="str">
        <f aca="false" t="array" ref="B32:B32">IFERROR(INDEX(KEY!$D$2:$D$23, MATCH(TRUE(), _xlfn.byrow(KEY!$F$2:$I$23, _xlfn.lambda(_xlpm.r, COUNTIF(_xlpm.r, C32)&gt;0)), 0)), "")</f>
        <v/>
      </c>
      <c r="C32" s="1" t="s">
        <v>60</v>
      </c>
      <c r="D32" s="34" t="n">
        <f aca="false">_xlfn.XLOOKUP(G32,$C:$C,$F:$F)+1</f>
        <v>46248</v>
      </c>
      <c r="E32" s="3" t="n">
        <v>3</v>
      </c>
      <c r="F32" s="34" t="n">
        <f aca="false">WORKDAY(D32,E32-1)</f>
        <v>46252</v>
      </c>
      <c r="G32" s="1" t="s">
        <v>51</v>
      </c>
      <c r="H32" s="1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</row>
    <row r="33" customFormat="false" ht="14.25" hidden="false" customHeight="false" outlineLevel="0" collapsed="false">
      <c r="B33" s="1" t="str">
        <f aca="false" t="array" ref="B33:B33">IFERROR(INDEX(KEY!$D$2:$D$23, MATCH(TRUE(), _xlfn.byrow(KEY!$F$2:$I$23, _xlfn.lambda(_xlpm.r, COUNTIF(_xlpm.r, C33)&gt;0)), 0)), "")</f>
        <v/>
      </c>
      <c r="C33" s="1" t="s">
        <v>53</v>
      </c>
      <c r="D33" s="34" t="n">
        <f aca="false">_xlfn.XLOOKUP(G33,$C:$C,$F:$F)+1</f>
        <v>46253</v>
      </c>
      <c r="E33" s="3" t="n">
        <v>2</v>
      </c>
      <c r="F33" s="34" t="n">
        <f aca="false">WORKDAY(D33,E33-1)</f>
        <v>46254</v>
      </c>
      <c r="G33" s="1" t="s">
        <v>60</v>
      </c>
      <c r="H33" s="1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  <c r="LE33" s="35"/>
      <c r="LF33" s="35"/>
      <c r="LG33" s="35"/>
      <c r="LH33" s="35"/>
      <c r="LI33" s="35"/>
      <c r="LJ33" s="35"/>
      <c r="LK33" s="35"/>
      <c r="LL33" s="35"/>
      <c r="LM33" s="35"/>
      <c r="LN33" s="35"/>
      <c r="LO33" s="35"/>
      <c r="LP33" s="35"/>
      <c r="LQ33" s="35"/>
      <c r="LR33" s="35"/>
      <c r="LS33" s="35"/>
      <c r="LT33" s="35"/>
      <c r="LU33" s="35"/>
      <c r="LV33" s="35"/>
      <c r="LW33" s="35"/>
      <c r="LX33" s="35"/>
      <c r="LY33" s="35"/>
      <c r="LZ33" s="35"/>
      <c r="MA33" s="35"/>
      <c r="MB33" s="35"/>
      <c r="MC33" s="35"/>
      <c r="MD33" s="35"/>
      <c r="ME33" s="35"/>
      <c r="MF33" s="35"/>
      <c r="MG33" s="35"/>
      <c r="MH33" s="35"/>
      <c r="MI33" s="35"/>
      <c r="MJ33" s="35"/>
      <c r="MK33" s="35"/>
      <c r="ML33" s="35"/>
      <c r="MM33" s="35"/>
      <c r="MN33" s="35"/>
      <c r="MO33" s="35"/>
      <c r="MP33" s="35"/>
      <c r="MQ33" s="35"/>
      <c r="MR33" s="35"/>
      <c r="MS33" s="35"/>
      <c r="MT33" s="35"/>
      <c r="MU33" s="35"/>
      <c r="MV33" s="35"/>
      <c r="MW33" s="35"/>
      <c r="MX33" s="35"/>
      <c r="MY33" s="35"/>
      <c r="MZ33" s="35"/>
      <c r="NA33" s="35"/>
    </row>
    <row r="34" customFormat="false" ht="14.25" hidden="false" customHeight="false" outlineLevel="0" collapsed="false">
      <c r="B34" s="1" t="str">
        <f aca="false" t="array" ref="B34:B34">IFERROR(INDEX(KEY!$D$2:$D$23, MATCH(TRUE(), _xlfn.byrow(KEY!$F$2:$I$23, _xlfn.lambda(_xlpm.r, COUNTIF(_xlpm.r, C34)&gt;0)), 0)), "")</f>
        <v/>
      </c>
      <c r="C34" s="1" t="s">
        <v>44</v>
      </c>
      <c r="D34" s="34" t="n">
        <f aca="false">_xlfn.XLOOKUP(G34,$C:$C,$F:$F)+1</f>
        <v>46253</v>
      </c>
      <c r="E34" s="3" t="n">
        <v>5</v>
      </c>
      <c r="F34" s="34" t="n">
        <f aca="false">WORKDAY(D34,E34-1)</f>
        <v>46259</v>
      </c>
      <c r="G34" s="1" t="s">
        <v>60</v>
      </c>
      <c r="H34" s="1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  <c r="LE34" s="35"/>
      <c r="LF34" s="35"/>
      <c r="LG34" s="35"/>
      <c r="LH34" s="35"/>
      <c r="LI34" s="35"/>
      <c r="LJ34" s="35"/>
      <c r="LK34" s="35"/>
      <c r="LL34" s="35"/>
      <c r="LM34" s="35"/>
      <c r="LN34" s="35"/>
      <c r="LO34" s="35"/>
      <c r="LP34" s="35"/>
      <c r="LQ34" s="35"/>
      <c r="LR34" s="35"/>
      <c r="LS34" s="35"/>
      <c r="LT34" s="35"/>
      <c r="LU34" s="35"/>
      <c r="LV34" s="35"/>
      <c r="LW34" s="35"/>
      <c r="LX34" s="35"/>
      <c r="LY34" s="35"/>
      <c r="LZ34" s="35"/>
      <c r="MA34" s="35"/>
      <c r="MB34" s="35"/>
      <c r="MC34" s="35"/>
      <c r="MD34" s="35"/>
      <c r="ME34" s="35"/>
      <c r="MF34" s="35"/>
      <c r="MG34" s="35"/>
      <c r="MH34" s="35"/>
      <c r="MI34" s="35"/>
      <c r="MJ34" s="35"/>
      <c r="MK34" s="35"/>
      <c r="ML34" s="35"/>
      <c r="MM34" s="35"/>
      <c r="MN34" s="35"/>
      <c r="MO34" s="35"/>
      <c r="MP34" s="35"/>
      <c r="MQ34" s="35"/>
      <c r="MR34" s="35"/>
      <c r="MS34" s="35"/>
      <c r="MT34" s="35"/>
      <c r="MU34" s="35"/>
      <c r="MV34" s="35"/>
      <c r="MW34" s="35"/>
      <c r="MX34" s="35"/>
      <c r="MY34" s="35"/>
      <c r="MZ34" s="35"/>
      <c r="NA34" s="35"/>
    </row>
    <row r="35" customFormat="false" ht="14.25" hidden="false" customHeight="false" outlineLevel="0" collapsed="false">
      <c r="B35" s="1" t="str">
        <f aca="false" t="array" ref="B35:B35">IFERROR(INDEX(KEY!$D$2:$D$23, MATCH(TRUE(), _xlfn.byrow(KEY!$F$2:$I$23, _xlfn.lambda(_xlpm.r, COUNTIF(_xlpm.r, C35)&gt;0)), 0)), "")</f>
        <v/>
      </c>
      <c r="C35" s="1" t="s">
        <v>45</v>
      </c>
      <c r="D35" s="34" t="n">
        <f aca="false">_xlfn.XLOOKUP(G35,$C:$C,$F:$F)+1</f>
        <v>46253</v>
      </c>
      <c r="E35" s="3" t="n">
        <v>8</v>
      </c>
      <c r="F35" s="34" t="n">
        <f aca="false">WORKDAY(D35,E35-1)</f>
        <v>46262</v>
      </c>
      <c r="G35" s="1" t="s">
        <v>60</v>
      </c>
      <c r="H35" s="1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</row>
    <row r="36" customFormat="false" ht="14.25" hidden="false" customHeight="false" outlineLevel="0" collapsed="false">
      <c r="B36" s="1" t="str">
        <f aca="false" t="array" ref="B36:B36">IFERROR(INDEX(KEY!$D$2:$D$23, MATCH(TRUE(), _xlfn.byrow(KEY!$F$2:$I$23, _xlfn.lambda(_xlpm.r, COUNTIF(_xlpm.r, C36)&gt;0)), 0)), "")</f>
        <v/>
      </c>
      <c r="C36" s="1" t="s">
        <v>57</v>
      </c>
      <c r="D36" s="34" t="n">
        <f aca="false">_xlfn.XLOOKUP(G36,$C:$C,$F:$F)+1</f>
        <v>46260</v>
      </c>
      <c r="E36" s="3" t="n">
        <v>20</v>
      </c>
      <c r="F36" s="34" t="n">
        <f aca="false">WORKDAY(D36,E36-1)</f>
        <v>46287</v>
      </c>
      <c r="G36" s="1" t="s">
        <v>44</v>
      </c>
      <c r="H36" s="1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  <c r="LE36" s="35"/>
      <c r="LF36" s="35"/>
      <c r="LG36" s="35"/>
      <c r="LH36" s="35"/>
      <c r="LI36" s="35"/>
      <c r="LJ36" s="35"/>
      <c r="LK36" s="35"/>
      <c r="LL36" s="35"/>
      <c r="LM36" s="35"/>
      <c r="LN36" s="35"/>
      <c r="LO36" s="35"/>
      <c r="LP36" s="35"/>
      <c r="LQ36" s="35"/>
      <c r="LR36" s="35"/>
      <c r="LS36" s="35"/>
      <c r="LT36" s="35"/>
      <c r="LU36" s="35"/>
      <c r="LV36" s="35"/>
      <c r="LW36" s="35"/>
      <c r="LX36" s="35"/>
      <c r="LY36" s="35"/>
      <c r="LZ36" s="35"/>
      <c r="MA36" s="35"/>
      <c r="MB36" s="35"/>
      <c r="MC36" s="35"/>
      <c r="MD36" s="35"/>
      <c r="ME36" s="35"/>
      <c r="MF36" s="35"/>
      <c r="MG36" s="35"/>
      <c r="MH36" s="35"/>
      <c r="MI36" s="35"/>
      <c r="MJ36" s="35"/>
      <c r="MK36" s="35"/>
      <c r="ML36" s="35"/>
      <c r="MM36" s="35"/>
      <c r="MN36" s="35"/>
      <c r="MO36" s="35"/>
      <c r="MP36" s="35"/>
      <c r="MQ36" s="35"/>
      <c r="MR36" s="35"/>
      <c r="MS36" s="35"/>
      <c r="MT36" s="35"/>
      <c r="MU36" s="35"/>
      <c r="MV36" s="35"/>
      <c r="MW36" s="35"/>
      <c r="MX36" s="35"/>
      <c r="MY36" s="35"/>
      <c r="MZ36" s="35"/>
      <c r="NA36" s="35"/>
    </row>
    <row r="37" customFormat="false" ht="14.25" hidden="false" customHeight="false" outlineLevel="0" collapsed="false">
      <c r="B37" s="1" t="str">
        <f aca="false" t="array" ref="B37:B37">IFERROR(INDEX(KEY!$D$2:$D$23, MATCH(TRUE(), _xlfn.byrow(KEY!$F$2:$I$23, _xlfn.lambda(_xlpm.r, COUNTIF(_xlpm.r, C37)&gt;0)), 0)), "")</f>
        <v/>
      </c>
      <c r="C37" s="1" t="s">
        <v>58</v>
      </c>
      <c r="D37" s="34" t="n">
        <f aca="false">_xlfn.XLOOKUP(G37,$C:$C,$F:$F)+1</f>
        <v>46245</v>
      </c>
      <c r="E37" s="3" t="n">
        <v>2</v>
      </c>
      <c r="F37" s="34" t="n">
        <f aca="false">WORKDAY(D37,E37-1)</f>
        <v>46246</v>
      </c>
      <c r="G37" s="1" t="s">
        <v>27</v>
      </c>
      <c r="H37" s="1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  <c r="LE37" s="35"/>
      <c r="LF37" s="35"/>
      <c r="LG37" s="35"/>
      <c r="LH37" s="35"/>
      <c r="LI37" s="35"/>
      <c r="LJ37" s="35"/>
      <c r="LK37" s="35"/>
      <c r="LL37" s="35"/>
      <c r="LM37" s="35"/>
      <c r="LN37" s="35"/>
      <c r="LO37" s="35"/>
      <c r="LP37" s="35"/>
      <c r="LQ37" s="35"/>
      <c r="LR37" s="35"/>
      <c r="LS37" s="35"/>
      <c r="LT37" s="35"/>
      <c r="LU37" s="35"/>
      <c r="LV37" s="35"/>
      <c r="LW37" s="35"/>
      <c r="LX37" s="35"/>
      <c r="LY37" s="35"/>
      <c r="LZ37" s="35"/>
      <c r="MA37" s="35"/>
      <c r="MB37" s="35"/>
      <c r="MC37" s="35"/>
      <c r="MD37" s="35"/>
      <c r="ME37" s="35"/>
      <c r="MF37" s="35"/>
      <c r="MG37" s="35"/>
      <c r="MH37" s="35"/>
      <c r="MI37" s="35"/>
      <c r="MJ37" s="35"/>
      <c r="MK37" s="35"/>
      <c r="ML37" s="35"/>
      <c r="MM37" s="35"/>
      <c r="MN37" s="35"/>
      <c r="MO37" s="35"/>
      <c r="MP37" s="35"/>
      <c r="MQ37" s="35"/>
      <c r="MR37" s="35"/>
      <c r="MS37" s="35"/>
      <c r="MT37" s="35"/>
      <c r="MU37" s="35"/>
      <c r="MV37" s="35"/>
      <c r="MW37" s="35"/>
      <c r="MX37" s="35"/>
      <c r="MY37" s="35"/>
      <c r="MZ37" s="35"/>
      <c r="NA37" s="35"/>
    </row>
    <row r="38" customFormat="false" ht="14.25" hidden="false" customHeight="false" outlineLevel="0" collapsed="false">
      <c r="B38" s="1" t="str">
        <f aca="false" t="array" ref="B38:B38">IFERROR(INDEX(KEY!$D$2:$D$23, MATCH(TRUE(), _xlfn.byrow(KEY!$F$2:$I$23, _xlfn.lambda(_xlpm.r, COUNTIF(_xlpm.r, C38)&gt;0)), 0)), "")</f>
        <v/>
      </c>
      <c r="C38" s="1" t="s">
        <v>64</v>
      </c>
      <c r="D38" s="34" t="n">
        <f aca="false">_xlfn.XLOOKUP(G38,$C:$C,$F:$F)+1</f>
        <v>46260</v>
      </c>
      <c r="E38" s="3" t="n">
        <v>3</v>
      </c>
      <c r="F38" s="34" t="n">
        <f aca="false">WORKDAY(D38,E38-1)</f>
        <v>46262</v>
      </c>
      <c r="G38" s="1" t="s">
        <v>44</v>
      </c>
      <c r="H38" s="1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  <c r="LE38" s="35"/>
      <c r="LF38" s="35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  <c r="LR38" s="35"/>
      <c r="LS38" s="35"/>
      <c r="LT38" s="35"/>
      <c r="LU38" s="35"/>
      <c r="LV38" s="35"/>
      <c r="LW38" s="35"/>
      <c r="LX38" s="35"/>
      <c r="LY38" s="35"/>
      <c r="LZ38" s="35"/>
      <c r="MA38" s="35"/>
      <c r="MB38" s="35"/>
      <c r="MC38" s="35"/>
      <c r="MD38" s="35"/>
      <c r="ME38" s="35"/>
      <c r="MF38" s="35"/>
      <c r="MG38" s="35"/>
      <c r="MH38" s="35"/>
      <c r="MI38" s="35"/>
      <c r="MJ38" s="35"/>
      <c r="MK38" s="35"/>
      <c r="ML38" s="35"/>
      <c r="MM38" s="35"/>
      <c r="MN38" s="35"/>
      <c r="MO38" s="35"/>
      <c r="MP38" s="35"/>
      <c r="MQ38" s="35"/>
      <c r="MR38" s="35"/>
      <c r="MS38" s="35"/>
      <c r="MT38" s="35"/>
      <c r="MU38" s="35"/>
      <c r="MV38" s="35"/>
      <c r="MW38" s="35"/>
      <c r="MX38" s="35"/>
      <c r="MY38" s="35"/>
      <c r="MZ38" s="35"/>
      <c r="NA38" s="35"/>
    </row>
    <row r="39" customFormat="false" ht="14.25" hidden="false" customHeight="false" outlineLevel="0" collapsed="false">
      <c r="B39" s="1" t="str">
        <f aca="false" t="array" ref="B39:B39">IFERROR(INDEX(KEY!$D$2:$D$23, MATCH(TRUE(), _xlfn.byrow(KEY!$F$2:$I$23, _xlfn.lambda(_xlpm.r, COUNTIF(_xlpm.r, C39)&gt;0)), 0)), "")</f>
        <v/>
      </c>
      <c r="C39" s="1" t="s">
        <v>66</v>
      </c>
      <c r="D39" s="34" t="n">
        <f aca="false">_xlfn.XLOOKUP(G39,$C:$C,$F:$F)+1</f>
        <v>46263</v>
      </c>
      <c r="E39" s="3" t="n">
        <v>2</v>
      </c>
      <c r="F39" s="34" t="n">
        <f aca="false">WORKDAY(D39,E39-1)</f>
        <v>46265</v>
      </c>
      <c r="G39" s="1" t="s">
        <v>64</v>
      </c>
      <c r="H39" s="1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  <c r="MA39" s="35"/>
      <c r="MB39" s="35"/>
      <c r="MC39" s="35"/>
      <c r="MD39" s="35"/>
      <c r="ME39" s="35"/>
      <c r="MF39" s="35"/>
      <c r="MG39" s="35"/>
      <c r="MH39" s="35"/>
      <c r="MI39" s="35"/>
      <c r="MJ39" s="35"/>
      <c r="MK39" s="35"/>
      <c r="ML39" s="35"/>
      <c r="MM39" s="35"/>
      <c r="MN39" s="35"/>
      <c r="MO39" s="35"/>
      <c r="MP39" s="35"/>
      <c r="MQ39" s="35"/>
      <c r="MR39" s="35"/>
      <c r="MS39" s="35"/>
      <c r="MT39" s="35"/>
      <c r="MU39" s="35"/>
      <c r="MV39" s="35"/>
      <c r="MW39" s="35"/>
      <c r="MX39" s="35"/>
      <c r="MY39" s="35"/>
      <c r="MZ39" s="35"/>
      <c r="NA39" s="35"/>
    </row>
    <row r="40" customFormat="false" ht="14.25" hidden="false" customHeight="false" outlineLevel="0" collapsed="false">
      <c r="B40" s="1" t="str">
        <f aca="false" t="array" ref="B40:B40">IFERROR(INDEX(KEY!$D$2:$D$23, MATCH(TRUE(), _xlfn.byrow(KEY!$F$2:$I$23, _xlfn.lambda(_xlpm.r, COUNTIF(_xlpm.r, C40)&gt;0)), 0)), "")</f>
        <v/>
      </c>
      <c r="C40" s="1" t="s">
        <v>61</v>
      </c>
      <c r="D40" s="34" t="n">
        <f aca="false">_xlfn.XLOOKUP(G40,$C:$C,$F:$F)+1</f>
        <v>46266</v>
      </c>
      <c r="E40" s="3" t="n">
        <v>10</v>
      </c>
      <c r="F40" s="34" t="n">
        <f aca="false">WORKDAY(D40,E40-1)</f>
        <v>46279</v>
      </c>
      <c r="G40" s="1" t="s">
        <v>66</v>
      </c>
      <c r="H40" s="1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  <c r="LE40" s="35"/>
      <c r="LF40" s="35"/>
      <c r="LG40" s="35"/>
      <c r="LH40" s="35"/>
      <c r="LI40" s="35"/>
      <c r="LJ40" s="35"/>
      <c r="LK40" s="35"/>
      <c r="LL40" s="35"/>
      <c r="LM40" s="35"/>
      <c r="LN40" s="35"/>
      <c r="LO40" s="35"/>
      <c r="LP40" s="35"/>
      <c r="LQ40" s="35"/>
      <c r="LR40" s="35"/>
      <c r="LS40" s="35"/>
      <c r="LT40" s="35"/>
      <c r="LU40" s="35"/>
      <c r="LV40" s="35"/>
      <c r="LW40" s="35"/>
      <c r="LX40" s="35"/>
      <c r="LY40" s="35"/>
      <c r="LZ40" s="35"/>
      <c r="MA40" s="35"/>
      <c r="MB40" s="35"/>
      <c r="MC40" s="35"/>
      <c r="MD40" s="35"/>
      <c r="ME40" s="35"/>
      <c r="MF40" s="35"/>
      <c r="MG40" s="35"/>
      <c r="MH40" s="35"/>
      <c r="MI40" s="35"/>
      <c r="MJ40" s="35"/>
      <c r="MK40" s="35"/>
      <c r="ML40" s="35"/>
      <c r="MM40" s="35"/>
      <c r="MN40" s="35"/>
      <c r="MO40" s="35"/>
      <c r="MP40" s="35"/>
      <c r="MQ40" s="35"/>
      <c r="MR40" s="35"/>
      <c r="MS40" s="35"/>
      <c r="MT40" s="35"/>
      <c r="MU40" s="35"/>
      <c r="MV40" s="35"/>
      <c r="MW40" s="35"/>
      <c r="MX40" s="35"/>
      <c r="MY40" s="35"/>
      <c r="MZ40" s="35"/>
      <c r="NA40" s="35"/>
    </row>
    <row r="41" customFormat="false" ht="14.25" hidden="false" customHeight="false" outlineLevel="0" collapsed="false">
      <c r="B41" s="1" t="str">
        <f aca="false" t="array" ref="B41:B41">IFERROR(INDEX(KEY!$D$2:$D$23, MATCH(TRUE(), _xlfn.byrow(KEY!$F$2:$I$23, _xlfn.lambda(_xlpm.r, COUNTIF(_xlpm.r, C41)&gt;0)), 0)), "")</f>
        <v/>
      </c>
      <c r="C41" s="1" t="s">
        <v>34</v>
      </c>
      <c r="D41" s="34" t="n">
        <f aca="false">_xlfn.XLOOKUP(G41,$C:$C,$F:$F)+1</f>
        <v>46266</v>
      </c>
      <c r="E41" s="3" t="n">
        <v>2</v>
      </c>
      <c r="F41" s="34" t="n">
        <f aca="false">WORKDAY(D41,E41-1)</f>
        <v>46267</v>
      </c>
      <c r="G41" s="1" t="s">
        <v>66</v>
      </c>
      <c r="H41" s="1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  <c r="LE41" s="35"/>
      <c r="LF41" s="35"/>
      <c r="LG41" s="35"/>
      <c r="LH41" s="35"/>
      <c r="LI41" s="35"/>
      <c r="LJ41" s="35"/>
      <c r="LK41" s="35"/>
      <c r="LL41" s="35"/>
      <c r="LM41" s="35"/>
      <c r="LN41" s="35"/>
      <c r="LO41" s="35"/>
      <c r="LP41" s="35"/>
      <c r="LQ41" s="35"/>
      <c r="LR41" s="35"/>
      <c r="LS41" s="35"/>
      <c r="LT41" s="35"/>
      <c r="LU41" s="35"/>
      <c r="LV41" s="35"/>
      <c r="LW41" s="35"/>
      <c r="LX41" s="35"/>
      <c r="LY41" s="35"/>
      <c r="LZ41" s="35"/>
      <c r="MA41" s="35"/>
      <c r="MB41" s="35"/>
      <c r="MC41" s="35"/>
      <c r="MD41" s="35"/>
      <c r="ME41" s="35"/>
      <c r="MF41" s="35"/>
      <c r="MG41" s="35"/>
      <c r="MH41" s="35"/>
      <c r="MI41" s="35"/>
      <c r="MJ41" s="35"/>
      <c r="MK41" s="35"/>
      <c r="ML41" s="35"/>
      <c r="MM41" s="35"/>
      <c r="MN41" s="35"/>
      <c r="MO41" s="35"/>
      <c r="MP41" s="35"/>
      <c r="MQ41" s="35"/>
      <c r="MR41" s="35"/>
      <c r="MS41" s="35"/>
      <c r="MT41" s="35"/>
      <c r="MU41" s="35"/>
      <c r="MV41" s="35"/>
      <c r="MW41" s="35"/>
      <c r="MX41" s="35"/>
      <c r="MY41" s="35"/>
      <c r="MZ41" s="35"/>
      <c r="NA41" s="35"/>
    </row>
    <row r="42" customFormat="false" ht="14.25" hidden="false" customHeight="false" outlineLevel="0" collapsed="false">
      <c r="B42" s="1" t="str">
        <f aca="false" t="array" ref="B42:B42">IFERROR(INDEX(KEY!$D$2:$D$23, MATCH(TRUE(), _xlfn.byrow(KEY!$F$2:$I$23, _xlfn.lambda(_xlpm.r, COUNTIF(_xlpm.r, C42)&gt;0)), 0)), "")</f>
        <v/>
      </c>
      <c r="C42" s="1" t="s">
        <v>38</v>
      </c>
      <c r="D42" s="34" t="n">
        <f aca="false">_xlfn.XLOOKUP(G42,$C:$C,$F:$F)+1</f>
        <v>46280</v>
      </c>
      <c r="E42" s="3" t="n">
        <v>2</v>
      </c>
      <c r="F42" s="34" t="n">
        <f aca="false">WORKDAY(D42,E42-1)</f>
        <v>46281</v>
      </c>
      <c r="G42" s="1" t="s">
        <v>61</v>
      </c>
      <c r="H42" s="1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  <c r="LE42" s="35"/>
      <c r="LF42" s="35"/>
      <c r="LG42" s="35"/>
      <c r="LH42" s="35"/>
      <c r="LI42" s="35"/>
      <c r="LJ42" s="35"/>
      <c r="LK42" s="35"/>
      <c r="LL42" s="35"/>
      <c r="LM42" s="35"/>
      <c r="LN42" s="35"/>
      <c r="LO42" s="35"/>
      <c r="LP42" s="35"/>
      <c r="LQ42" s="35"/>
      <c r="LR42" s="35"/>
      <c r="LS42" s="35"/>
      <c r="LT42" s="35"/>
      <c r="LU42" s="35"/>
      <c r="LV42" s="35"/>
      <c r="LW42" s="35"/>
      <c r="LX42" s="35"/>
      <c r="LY42" s="35"/>
      <c r="LZ42" s="35"/>
      <c r="MA42" s="35"/>
      <c r="MB42" s="35"/>
      <c r="MC42" s="35"/>
      <c r="MD42" s="35"/>
      <c r="ME42" s="35"/>
      <c r="MF42" s="35"/>
      <c r="MG42" s="35"/>
      <c r="MH42" s="35"/>
      <c r="MI42" s="35"/>
      <c r="MJ42" s="35"/>
      <c r="MK42" s="35"/>
      <c r="ML42" s="35"/>
      <c r="MM42" s="35"/>
      <c r="MN42" s="35"/>
      <c r="MO42" s="35"/>
      <c r="MP42" s="35"/>
      <c r="MQ42" s="35"/>
      <c r="MR42" s="35"/>
      <c r="MS42" s="35"/>
      <c r="MT42" s="35"/>
      <c r="MU42" s="35"/>
      <c r="MV42" s="35"/>
      <c r="MW42" s="35"/>
      <c r="MX42" s="35"/>
      <c r="MY42" s="35"/>
      <c r="MZ42" s="35"/>
      <c r="NA42" s="35"/>
    </row>
    <row r="43" customFormat="false" ht="14.25" hidden="false" customHeight="false" outlineLevel="0" collapsed="false">
      <c r="B43" s="1" t="str">
        <f aca="false" t="array" ref="B43:B43">IFERROR(INDEX(KEY!$D$2:$D$23, MATCH(TRUE(), _xlfn.byrow(KEY!$F$2:$I$23, _xlfn.lambda(_xlpm.r, COUNTIF(_xlpm.r, C43)&gt;0)), 0)), "")</f>
        <v/>
      </c>
      <c r="C43" s="1" t="s">
        <v>42</v>
      </c>
      <c r="D43" s="34" t="n">
        <f aca="false">_xlfn.XLOOKUP(G43,$C:$C,$F:$F)+1</f>
        <v>46266</v>
      </c>
      <c r="E43" s="3" t="n">
        <v>2</v>
      </c>
      <c r="F43" s="34" t="n">
        <f aca="false">WORKDAY(D43,E43-1)</f>
        <v>46267</v>
      </c>
      <c r="G43" s="1" t="s">
        <v>66</v>
      </c>
      <c r="H43" s="1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  <c r="MN43" s="35"/>
      <c r="MO43" s="35"/>
      <c r="MP43" s="35"/>
      <c r="MQ43" s="35"/>
      <c r="MR43" s="35"/>
      <c r="MS43" s="35"/>
      <c r="MT43" s="35"/>
      <c r="MU43" s="35"/>
      <c r="MV43" s="35"/>
      <c r="MW43" s="35"/>
      <c r="MX43" s="35"/>
      <c r="MY43" s="35"/>
      <c r="MZ43" s="35"/>
      <c r="NA43" s="35"/>
    </row>
    <row r="44" customFormat="false" ht="14.25" hidden="false" customHeight="false" outlineLevel="0" collapsed="false">
      <c r="B44" s="1" t="str">
        <f aca="false" t="array" ref="B44:B44">IFERROR(INDEX(KEY!$D$2:$D$23, MATCH(TRUE(), _xlfn.byrow(KEY!$F$2:$I$23, _xlfn.lambda(_xlpm.r, COUNTIF(_xlpm.r, C44)&gt;0)), 0)), "")</f>
        <v/>
      </c>
      <c r="C44" s="1" t="s">
        <v>33</v>
      </c>
      <c r="D44" s="34" t="n">
        <f aca="false">_xlfn.XLOOKUP(G44,$C:$C,$F:$F)+1</f>
        <v>46280</v>
      </c>
      <c r="E44" s="3" t="n">
        <v>4</v>
      </c>
      <c r="F44" s="34" t="n">
        <f aca="false">WORKDAY(D44,E44-1)</f>
        <v>46283</v>
      </c>
      <c r="G44" s="1" t="s">
        <v>61</v>
      </c>
      <c r="H44" s="1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  <c r="MN44" s="35"/>
      <c r="MO44" s="35"/>
      <c r="MP44" s="35"/>
      <c r="MQ44" s="35"/>
      <c r="MR44" s="35"/>
      <c r="MS44" s="35"/>
      <c r="MT44" s="35"/>
      <c r="MU44" s="35"/>
      <c r="MV44" s="35"/>
      <c r="MW44" s="35"/>
      <c r="MX44" s="35"/>
      <c r="MY44" s="35"/>
      <c r="MZ44" s="35"/>
      <c r="NA44" s="35"/>
    </row>
    <row r="45" customFormat="false" ht="14.25" hidden="false" customHeight="false" outlineLevel="0" collapsed="false">
      <c r="B45" s="1" t="str">
        <f aca="false" t="array" ref="B45:B45">IFERROR(INDEX(KEY!$D$2:$D$23, MATCH(TRUE(), _xlfn.byrow(KEY!$F$2:$I$23, _xlfn.lambda(_xlpm.r, COUNTIF(_xlpm.r, C45)&gt;0)), 0)), "")</f>
        <v/>
      </c>
      <c r="C45" s="1" t="s">
        <v>49</v>
      </c>
      <c r="D45" s="34" t="n">
        <f aca="false">_xlfn.XLOOKUP(G45,$C:$C,$F:$F)+1</f>
        <v>46284</v>
      </c>
      <c r="E45" s="3" t="n">
        <v>2</v>
      </c>
      <c r="F45" s="34" t="n">
        <f aca="false">WORKDAY(D45,E45-1)</f>
        <v>46286</v>
      </c>
      <c r="G45" s="1" t="s">
        <v>33</v>
      </c>
      <c r="H45" s="1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  <c r="MN45" s="35"/>
      <c r="MO45" s="35"/>
      <c r="MP45" s="35"/>
      <c r="MQ45" s="35"/>
      <c r="MR45" s="35"/>
      <c r="MS45" s="35"/>
      <c r="MT45" s="35"/>
      <c r="MU45" s="35"/>
      <c r="MV45" s="35"/>
      <c r="MW45" s="35"/>
      <c r="MX45" s="35"/>
      <c r="MY45" s="35"/>
      <c r="MZ45" s="35"/>
      <c r="NA45" s="35"/>
    </row>
    <row r="46" customFormat="false" ht="14.25" hidden="false" customHeight="false" outlineLevel="0" collapsed="false">
      <c r="B46" s="1" t="str">
        <f aca="false" t="array" ref="B46:B46">IFERROR(INDEX(KEY!$D$2:$D$23, MATCH(TRUE(), _xlfn.byrow(KEY!$F$2:$I$23, _xlfn.lambda(_xlpm.r, COUNTIF(_xlpm.r, C46)&gt;0)), 0)), "")</f>
        <v/>
      </c>
      <c r="C46" s="1" t="s">
        <v>62</v>
      </c>
      <c r="D46" s="34" t="n">
        <f aca="false">_xlfn.XLOOKUP(G46,$C:$C,$F:$F)+1</f>
        <v>46284</v>
      </c>
      <c r="E46" s="3" t="n">
        <v>5</v>
      </c>
      <c r="F46" s="34" t="n">
        <f aca="false">WORKDAY(D46,E46-1)</f>
        <v>46289</v>
      </c>
      <c r="G46" s="1" t="s">
        <v>33</v>
      </c>
      <c r="H46" s="1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  <c r="LE46" s="35"/>
      <c r="LF46" s="35"/>
      <c r="LG46" s="35"/>
      <c r="LH46" s="35"/>
      <c r="LI46" s="35"/>
      <c r="LJ46" s="35"/>
      <c r="LK46" s="35"/>
      <c r="LL46" s="35"/>
      <c r="LM46" s="35"/>
      <c r="LN46" s="35"/>
      <c r="LO46" s="35"/>
      <c r="LP46" s="35"/>
      <c r="LQ46" s="35"/>
      <c r="LR46" s="35"/>
      <c r="LS46" s="35"/>
      <c r="LT46" s="35"/>
      <c r="LU46" s="35"/>
      <c r="LV46" s="35"/>
      <c r="LW46" s="35"/>
      <c r="LX46" s="35"/>
      <c r="LY46" s="35"/>
      <c r="LZ46" s="35"/>
      <c r="MA46" s="35"/>
      <c r="MB46" s="35"/>
      <c r="MC46" s="35"/>
      <c r="MD46" s="35"/>
      <c r="ME46" s="35"/>
      <c r="MF46" s="35"/>
      <c r="MG46" s="35"/>
      <c r="MH46" s="35"/>
      <c r="MI46" s="35"/>
      <c r="MJ46" s="35"/>
      <c r="MK46" s="35"/>
      <c r="ML46" s="35"/>
      <c r="MM46" s="35"/>
      <c r="MN46" s="35"/>
      <c r="MO46" s="35"/>
      <c r="MP46" s="35"/>
      <c r="MQ46" s="35"/>
      <c r="MR46" s="35"/>
      <c r="MS46" s="35"/>
      <c r="MT46" s="35"/>
      <c r="MU46" s="35"/>
      <c r="MV46" s="35"/>
      <c r="MW46" s="35"/>
      <c r="MX46" s="35"/>
      <c r="MY46" s="35"/>
      <c r="MZ46" s="35"/>
      <c r="NA46" s="35"/>
    </row>
    <row r="47" customFormat="false" ht="14.25" hidden="false" customHeight="false" outlineLevel="0" collapsed="false">
      <c r="B47" s="1" t="str">
        <f aca="false" t="array" ref="B47:B47">IFERROR(INDEX(KEY!$D$2:$D$23, MATCH(TRUE(), _xlfn.byrow(KEY!$F$2:$I$23, _xlfn.lambda(_xlpm.r, COUNTIF(_xlpm.r, C47)&gt;0)), 0)), "")</f>
        <v/>
      </c>
      <c r="C47" s="1" t="s">
        <v>79</v>
      </c>
      <c r="D47" s="34" t="n">
        <f aca="false">_xlfn.XLOOKUP(G47,$C:$C,$F:$F)+1</f>
        <v>46290</v>
      </c>
      <c r="E47" s="3" t="n">
        <v>3</v>
      </c>
      <c r="F47" s="34" t="n">
        <f aca="false">WORKDAY(D47,E47-1)</f>
        <v>46294</v>
      </c>
      <c r="G47" s="1" t="s">
        <v>62</v>
      </c>
      <c r="H47" s="1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</row>
    <row r="49" customFormat="false" ht="14.25" hidden="false" customHeight="false" outlineLevel="0" collapsed="false">
      <c r="E49" s="26" t="n">
        <f aca="false">F47-D4</f>
        <v>181</v>
      </c>
      <c r="F49" s="37" t="s">
        <v>98</v>
      </c>
      <c r="G49" s="1"/>
      <c r="H49" s="1"/>
    </row>
    <row r="50" customFormat="false" ht="14.25" hidden="false" customHeight="false" outlineLevel="0" collapsed="false">
      <c r="E50" s="3" t="n">
        <f aca="false">F47-D5</f>
        <v>167</v>
      </c>
      <c r="F50" s="38" t="s">
        <v>99</v>
      </c>
    </row>
    <row r="51" customFormat="false" ht="14.25" hidden="false" customHeight="false" outlineLevel="0" collapsed="false">
      <c r="E51" s="39" t="n">
        <f aca="false">E50/30.41</f>
        <v>5.49161460046038</v>
      </c>
      <c r="F51" s="37" t="s">
        <v>100</v>
      </c>
    </row>
  </sheetData>
  <mergeCells count="51"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DQ1:DW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GW1:HC1"/>
    <mergeCell ref="HD1:HJ1"/>
    <mergeCell ref="HK1:HQ1"/>
    <mergeCell ref="HR1:HX1"/>
    <mergeCell ref="HY1:IE1"/>
    <mergeCell ref="IF1:IL1"/>
    <mergeCell ref="IM1:IS1"/>
    <mergeCell ref="IT1:IZ1"/>
    <mergeCell ref="JA1:JG1"/>
    <mergeCell ref="JH1:JN1"/>
    <mergeCell ref="JO1:JU1"/>
    <mergeCell ref="JV1:KB1"/>
    <mergeCell ref="KC1:KI1"/>
    <mergeCell ref="KJ1:KP1"/>
    <mergeCell ref="KQ1:KW1"/>
    <mergeCell ref="KX1:LD1"/>
    <mergeCell ref="LE1:LK1"/>
    <mergeCell ref="LL1:LR1"/>
    <mergeCell ref="LS1:LY1"/>
    <mergeCell ref="LZ1:MF1"/>
    <mergeCell ref="MG1:MM1"/>
    <mergeCell ref="MN1:MT1"/>
    <mergeCell ref="MU1:NA1"/>
  </mergeCells>
  <conditionalFormatting sqref="I4:NA47">
    <cfRule type="expression" priority="2" aboveAverage="0" equalAverage="0" bottom="0" percent="0" rank="0" text="" dxfId="0">
      <formula>AND(I$3&gt;=$D4,I$3&lt;=$F4,WEEKDAY(I$3,2)&lt;=5,TRIM($B4)="Rod Smith")</formula>
    </cfRule>
    <cfRule type="expression" priority="3" aboveAverage="0" equalAverage="0" bottom="0" percent="0" rank="0" text="" dxfId="1">
      <formula>AND(I$3&gt;=$D4,I$3&lt;=$F4,WEEKDAY(I$3,2)&lt;=5,TRIM($B4)="Angies Cleaning")</formula>
    </cfRule>
    <cfRule type="expression" priority="4" aboveAverage="0" equalAverage="0" bottom="0" percent="0" rank="0" text="" dxfId="2">
      <formula>AND(I$3&gt;=$D4,I$3&lt;=$F4,WEEKDAY(I$3,2)&lt;=5,TRIM($B4)="Tate Granit")</formula>
    </cfRule>
    <cfRule type="expression" priority="5" aboveAverage="0" equalAverage="0" bottom="0" percent="0" rank="0" text="" dxfId="3">
      <formula>AND(I$3&gt;=$D4,I$3&lt;=$F4,WEEKDAY(I$3,2)&lt;=5,TRIM($B4)="Whittmer")</formula>
    </cfRule>
    <cfRule type="expression" priority="6" aboveAverage="0" equalAverage="0" bottom="0" percent="0" rank="0" text="" dxfId="4">
      <formula>AND(I$3&gt;=$D4,I$3&lt;=$F4,WEEKDAY(I$3,2)&lt;=5,TRIM($B4)="Matt Thorn")</formula>
    </cfRule>
    <cfRule type="expression" priority="7" aboveAverage="0" equalAverage="0" bottom="0" percent="0" rank="0" text="" dxfId="5">
      <formula>AND(I$3&gt;=$D4,I$3&lt;=$F4,WEEKDAY(I$3,2)&lt;=5,TRIM($B4)="LW Contracting")</formula>
    </cfRule>
    <cfRule type="expression" priority="8" aboveAverage="0" equalAverage="0" bottom="0" percent="0" rank="0" text="" dxfId="6">
      <formula>AND(I$3&gt;=$D4,I$3&lt;=$F4,WEEKDAY(I$3,2)&lt;=5,TRIM($B4)="Danny Liedecher")</formula>
    </cfRule>
    <cfRule type="expression" priority="9" aboveAverage="0" equalAverage="0" bottom="0" percent="0" rank="0" text="" dxfId="7">
      <formula>AND(I$3&gt;=$D4,I$3&lt;=$F4,WEEKDAY(I$3,2)&lt;=5,TRIM($B4)="L&amp;L Painting")</formula>
    </cfRule>
    <cfRule type="expression" priority="10" aboveAverage="0" equalAverage="0" bottom="0" percent="0" rank="0" text="" dxfId="8">
      <formula>AND(I$3&gt;=$D4,I$3&lt;=$F4,WEEKDAY(I$3,2)&lt;=5,TRIM($B4)="Bernall Constr.")</formula>
    </cfRule>
    <cfRule type="expression" priority="11" aboveAverage="0" equalAverage="0" bottom="0" percent="0" rank="0" text="" dxfId="9">
      <formula>AND(I$3&gt;=$D4,I$3&lt;=$F4,WEEKDAY(I$3,2)&lt;=5,TRIM($B4)="TruGreen")</formula>
    </cfRule>
    <cfRule type="expression" priority="12" aboveAverage="0" equalAverage="0" bottom="0" percent="0" rank="0" text="" dxfId="10">
      <formula>AND(I$3&gt;=$D4,I$3&lt;=$F4,WEEKDAY(I$3,2)&lt;=5,TRIM($B4)="Ramiro")</formula>
    </cfRule>
    <cfRule type="expression" priority="13" aboveAverage="0" equalAverage="0" bottom="0" percent="0" rank="0" text="" dxfId="11">
      <formula>AND(I$3&gt;=$D4,I$3&lt;=$F4,WEEKDAY(I$3,2)&lt;=5,TRIM($B4)="Gerardo")</formula>
    </cfRule>
    <cfRule type="expression" priority="14" aboveAverage="0" equalAverage="0" bottom="0" percent="0" rank="0" text="" dxfId="12">
      <formula>AND(I$3&gt;=$D4,I$3&lt;=$F4,WEEKDAY(I$3,2)&lt;=5,TRIM($B4)="Dave Kaler")</formula>
    </cfRule>
    <cfRule type="expression" priority="15" aboveAverage="0" equalAverage="0" bottom="0" percent="0" rank="0" text="" dxfId="13">
      <formula>AND(I$3&gt;=$D4,I$3&lt;=$F4,WEEKDAY(I$3,2)&lt;=5,TRIM($B4)="Hays")</formula>
    </cfRule>
    <cfRule type="expression" priority="16" aboveAverage="0" equalAverage="0" bottom="0" percent="0" rank="0" text="" dxfId="14">
      <formula>AND(I$3&gt;=$D4,I$3&lt;=$F4,WEEKDAY(I$3,2)&lt;=5,TRIM($B4)="Adco")</formula>
    </cfRule>
    <cfRule type="expression" priority="17" aboveAverage="0" equalAverage="0" bottom="0" percent="0" rank="0" text="" dxfId="15">
      <formula>AND(I$3&gt;=$D4,I$3&lt;=$F4,WEEKDAY(I$3,2)&lt;=5,TRIM($B4)="Tyler Champion")</formula>
    </cfRule>
    <cfRule type="expression" priority="18" aboveAverage="0" equalAverage="0" bottom="0" percent="0" rank="0" text="" dxfId="16">
      <formula>AND(I$3&gt;=$D4,I$3&lt;=$F4,WEEKDAY(I$3,2)&lt;=5,TRIM($B4)="Jacob Hayden")</formula>
    </cfRule>
    <cfRule type="expression" priority="19" aboveAverage="0" equalAverage="0" bottom="0" percent="0" rank="0" text="" dxfId="17">
      <formula>AND(I$3&gt;=$D4,I$3&lt;=$F4,WEEKDAY(I$3,2)&lt;=5,TRIM($B4)="Julio H")</formula>
    </cfRule>
    <cfRule type="expression" priority="20" aboveAverage="0" equalAverage="0" bottom="0" percent="0" rank="0" text="" dxfId="18">
      <formula>AND(I$3&gt;=$D4,I$3&lt;=$F4,WEEKDAY(I$3,2)&lt;=5,TRIM($B4)="Willett &amp; Assoc.")</formula>
    </cfRule>
    <cfRule type="expression" priority="21" aboveAverage="0" equalAverage="0" bottom="0" percent="0" rank="0" text="" dxfId="19">
      <formula>AND(I$3&gt;=$D4,I$3&lt;=$F4,WEEKDAY(I$3,2)&lt;=5,TRIM($B4)="3C Concrete")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40" t="s">
        <v>87</v>
      </c>
      <c r="B1" s="40" t="s">
        <v>90</v>
      </c>
      <c r="C1" s="40" t="s">
        <v>101</v>
      </c>
      <c r="E1" s="41" t="s">
        <v>102</v>
      </c>
    </row>
    <row r="2" customFormat="false" ht="15" hidden="false" customHeight="false" outlineLevel="0" collapsed="false">
      <c r="A2" s="0" t="s">
        <v>94</v>
      </c>
      <c r="B2" s="42" t="n">
        <v>46113</v>
      </c>
      <c r="C2" s="0" t="s">
        <v>103</v>
      </c>
      <c r="E2" s="43" t="s">
        <v>104</v>
      </c>
    </row>
    <row r="3" customFormat="false" ht="15" hidden="false" customHeight="false" outlineLevel="0" collapsed="false">
      <c r="A3" s="0" t="s">
        <v>105</v>
      </c>
      <c r="B3" s="42" t="n">
        <v>46134</v>
      </c>
      <c r="C3" s="0" t="s">
        <v>106</v>
      </c>
      <c r="E3" s="43" t="s">
        <v>107</v>
      </c>
    </row>
    <row r="4" customFormat="false" ht="15" hidden="false" customHeight="false" outlineLevel="0" collapsed="false">
      <c r="A4" s="0" t="s">
        <v>108</v>
      </c>
      <c r="B4" s="42" t="n">
        <v>46155</v>
      </c>
      <c r="C4" s="0" t="s">
        <v>106</v>
      </c>
      <c r="E4" s="43" t="s">
        <v>109</v>
      </c>
    </row>
    <row r="5" customFormat="false" ht="15" hidden="false" customHeight="false" outlineLevel="0" collapsed="false">
      <c r="A5" s="0" t="s">
        <v>110</v>
      </c>
      <c r="B5" s="42" t="n">
        <v>46176</v>
      </c>
      <c r="C5" s="0" t="s">
        <v>111</v>
      </c>
      <c r="E5" s="43" t="s">
        <v>112</v>
      </c>
    </row>
    <row r="6" customFormat="false" ht="15" hidden="false" customHeight="false" outlineLevel="0" collapsed="false">
      <c r="A6" s="0" t="s">
        <v>113</v>
      </c>
      <c r="B6" s="42" t="n">
        <v>46197</v>
      </c>
      <c r="C6" s="0" t="s">
        <v>111</v>
      </c>
    </row>
    <row r="7" customFormat="false" ht="15" hidden="false" customHeight="false" outlineLevel="0" collapsed="false">
      <c r="A7" s="0" t="s">
        <v>114</v>
      </c>
      <c r="B7" s="42" t="n">
        <v>46218</v>
      </c>
      <c r="C7" s="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40" t="s">
        <v>115</v>
      </c>
      <c r="B1" s="40" t="s">
        <v>116</v>
      </c>
      <c r="C1" s="40" t="s">
        <v>88</v>
      </c>
      <c r="D1" s="40" t="s">
        <v>117</v>
      </c>
      <c r="E1" s="40" t="s">
        <v>118</v>
      </c>
      <c r="F1" s="40" t="s">
        <v>119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s">
        <v>120</v>
      </c>
      <c r="D2" s="0" t="n">
        <v>10</v>
      </c>
    </row>
    <row r="3" customFormat="false" ht="15" hidden="false" customHeight="false" outlineLevel="0" collapsed="false">
      <c r="A3" s="0" t="n">
        <v>2</v>
      </c>
      <c r="B3" s="0" t="s">
        <v>17</v>
      </c>
      <c r="C3" s="0" t="s">
        <v>120</v>
      </c>
      <c r="D3" s="0" t="n">
        <v>3</v>
      </c>
      <c r="E3" s="0" t="s">
        <v>16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120</v>
      </c>
      <c r="D4" s="0" t="n">
        <v>2</v>
      </c>
      <c r="E4" s="0" t="s">
        <v>17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s">
        <v>121</v>
      </c>
      <c r="D5" s="0" t="n">
        <v>4</v>
      </c>
      <c r="E5" s="0" t="s">
        <v>18</v>
      </c>
      <c r="F5" s="0" t="s">
        <v>121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s">
        <v>21</v>
      </c>
      <c r="D6" s="0" t="n">
        <v>10</v>
      </c>
      <c r="E6" s="0" t="s">
        <v>12</v>
      </c>
    </row>
    <row r="7" customFormat="false" ht="15" hidden="false" customHeight="false" outlineLevel="0" collapsed="false">
      <c r="A7" s="0" t="n">
        <v>6</v>
      </c>
      <c r="B7" s="0" t="s">
        <v>72</v>
      </c>
      <c r="C7" s="0" t="s">
        <v>69</v>
      </c>
      <c r="D7" s="0" t="n">
        <v>2</v>
      </c>
      <c r="E7" s="0" t="s">
        <v>22</v>
      </c>
    </row>
    <row r="8" customFormat="false" ht="15" hidden="false" customHeight="false" outlineLevel="0" collapsed="false">
      <c r="A8" s="0" t="n">
        <v>7</v>
      </c>
      <c r="B8" s="0" t="s">
        <v>47</v>
      </c>
      <c r="C8" s="0" t="s">
        <v>46</v>
      </c>
      <c r="D8" s="0" t="n">
        <v>2</v>
      </c>
      <c r="E8" s="0" t="s">
        <v>22</v>
      </c>
    </row>
    <row r="9" customFormat="false" ht="15" hidden="false" customHeight="false" outlineLevel="0" collapsed="false">
      <c r="A9" s="0" t="n">
        <v>8</v>
      </c>
      <c r="B9" s="0" t="s">
        <v>95</v>
      </c>
      <c r="D9" s="0" t="n">
        <v>2</v>
      </c>
      <c r="E9" s="0" t="s">
        <v>47</v>
      </c>
    </row>
    <row r="10" customFormat="false" ht="15" hidden="false" customHeight="false" outlineLevel="0" collapsed="false">
      <c r="A10" s="0" t="n">
        <v>9</v>
      </c>
      <c r="B10" s="0" t="s">
        <v>36</v>
      </c>
      <c r="C10" s="0" t="s">
        <v>35</v>
      </c>
      <c r="D10" s="0" t="n">
        <v>2</v>
      </c>
      <c r="E10" s="0" t="s">
        <v>95</v>
      </c>
    </row>
    <row r="11" customFormat="false" ht="15" hidden="false" customHeight="false" outlineLevel="0" collapsed="false">
      <c r="A11" s="0" t="n">
        <v>10</v>
      </c>
      <c r="B11" s="0" t="s">
        <v>40</v>
      </c>
      <c r="C11" s="0" t="s">
        <v>39</v>
      </c>
      <c r="D11" s="0" t="n">
        <v>5</v>
      </c>
      <c r="E11" s="0" t="s">
        <v>95</v>
      </c>
      <c r="F11" s="0" t="s">
        <v>39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s">
        <v>30</v>
      </c>
      <c r="D12" s="0" t="n">
        <v>2</v>
      </c>
      <c r="E12" s="0" t="s">
        <v>95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s">
        <v>121</v>
      </c>
      <c r="D13" s="0" t="n">
        <v>4</v>
      </c>
      <c r="E13" s="0" t="s">
        <v>40</v>
      </c>
      <c r="F13" s="0" t="s">
        <v>121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s">
        <v>122</v>
      </c>
      <c r="D14" s="0" t="n">
        <v>30</v>
      </c>
      <c r="E14" s="0" t="s">
        <v>13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s">
        <v>28</v>
      </c>
      <c r="D15" s="0" t="n">
        <v>4</v>
      </c>
      <c r="E15" s="0" t="s">
        <v>26</v>
      </c>
    </row>
    <row r="16" customFormat="false" ht="15" hidden="false" customHeight="false" outlineLevel="0" collapsed="false">
      <c r="A16" s="0" t="n">
        <v>15</v>
      </c>
      <c r="B16" s="0" t="s">
        <v>23</v>
      </c>
      <c r="C16" s="0" t="s">
        <v>21</v>
      </c>
      <c r="D16" s="0" t="n">
        <v>20</v>
      </c>
      <c r="E16" s="0" t="s">
        <v>29</v>
      </c>
    </row>
    <row r="17" customFormat="false" ht="15" hidden="false" customHeight="false" outlineLevel="0" collapsed="false">
      <c r="A17" s="0" t="n">
        <v>16</v>
      </c>
      <c r="B17" s="0" t="s">
        <v>123</v>
      </c>
      <c r="C17" s="0" t="s">
        <v>21</v>
      </c>
      <c r="D17" s="0" t="n">
        <v>20</v>
      </c>
      <c r="E17" s="0" t="s">
        <v>29</v>
      </c>
    </row>
    <row r="18" customFormat="false" ht="15" hidden="false" customHeight="false" outlineLevel="0" collapsed="false">
      <c r="A18" s="0" t="n">
        <v>17</v>
      </c>
      <c r="B18" s="0" t="s">
        <v>27</v>
      </c>
      <c r="C18" s="0" t="s">
        <v>122</v>
      </c>
      <c r="D18" s="0" t="n">
        <v>20</v>
      </c>
      <c r="E18" s="0" t="s">
        <v>29</v>
      </c>
    </row>
    <row r="19" customFormat="false" ht="15" hidden="false" customHeight="false" outlineLevel="0" collapsed="false">
      <c r="A19" s="0" t="n">
        <v>18</v>
      </c>
      <c r="B19" s="0" t="s">
        <v>96</v>
      </c>
      <c r="D19" s="0" t="n">
        <v>2</v>
      </c>
      <c r="E19" s="0" t="s">
        <v>23</v>
      </c>
    </row>
    <row r="20" customFormat="false" ht="15" hidden="false" customHeight="false" outlineLevel="0" collapsed="false">
      <c r="A20" s="0" t="n">
        <v>19</v>
      </c>
      <c r="B20" s="0" t="s">
        <v>75</v>
      </c>
      <c r="C20" s="0" t="s">
        <v>124</v>
      </c>
      <c r="D20" s="0" t="n">
        <v>2</v>
      </c>
      <c r="E20" s="0" t="s">
        <v>96</v>
      </c>
    </row>
    <row r="21" customFormat="false" ht="15" hidden="false" customHeight="false" outlineLevel="0" collapsed="false">
      <c r="A21" s="0" t="n">
        <v>20</v>
      </c>
      <c r="B21" s="0" t="s">
        <v>71</v>
      </c>
      <c r="C21" s="0" t="s">
        <v>69</v>
      </c>
      <c r="D21" s="0" t="n">
        <v>2</v>
      </c>
      <c r="E21" s="0" t="s">
        <v>75</v>
      </c>
    </row>
    <row r="22" customFormat="false" ht="15" hidden="false" customHeight="false" outlineLevel="0" collapsed="false">
      <c r="A22" s="0" t="n">
        <v>21</v>
      </c>
      <c r="B22" s="0" t="s">
        <v>125</v>
      </c>
      <c r="C22" s="0" t="s">
        <v>69</v>
      </c>
      <c r="D22" s="0" t="n">
        <v>2</v>
      </c>
      <c r="E22" s="0" t="s">
        <v>75</v>
      </c>
    </row>
    <row r="23" customFormat="false" ht="15" hidden="false" customHeight="false" outlineLevel="0" collapsed="false">
      <c r="A23" s="0" t="n">
        <v>22</v>
      </c>
      <c r="B23" s="0" t="s">
        <v>77</v>
      </c>
      <c r="C23" s="0" t="s">
        <v>76</v>
      </c>
      <c r="D23" s="0" t="n">
        <v>2</v>
      </c>
      <c r="E23" s="0" t="s">
        <v>71</v>
      </c>
    </row>
    <row r="24" customFormat="false" ht="15" hidden="false" customHeight="false" outlineLevel="0" collapsed="false">
      <c r="A24" s="0" t="n">
        <v>23</v>
      </c>
      <c r="B24" s="0" t="s">
        <v>97</v>
      </c>
      <c r="D24" s="0" t="n">
        <v>2</v>
      </c>
      <c r="E24" s="0" t="s">
        <v>96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s">
        <v>35</v>
      </c>
      <c r="D25" s="0" t="n">
        <v>5</v>
      </c>
      <c r="E25" s="0" t="s">
        <v>26</v>
      </c>
    </row>
    <row r="26" customFormat="false" ht="15" hidden="false" customHeight="false" outlineLevel="0" collapsed="false">
      <c r="A26" s="0" t="n">
        <v>25</v>
      </c>
      <c r="B26" s="0" t="s">
        <v>41</v>
      </c>
      <c r="C26" s="0" t="s">
        <v>39</v>
      </c>
      <c r="D26" s="0" t="n">
        <v>5</v>
      </c>
      <c r="E26" s="0" t="s">
        <v>26</v>
      </c>
      <c r="F26" s="0" t="s">
        <v>39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s">
        <v>30</v>
      </c>
      <c r="D27" s="0" t="n">
        <v>10</v>
      </c>
      <c r="E27" s="0" t="s">
        <v>26</v>
      </c>
    </row>
    <row r="28" customFormat="false" ht="15" hidden="false" customHeight="false" outlineLevel="0" collapsed="false">
      <c r="A28" s="0" t="n">
        <v>27</v>
      </c>
      <c r="B28" s="0" t="s">
        <v>48</v>
      </c>
      <c r="C28" s="0" t="s">
        <v>46</v>
      </c>
      <c r="D28" s="0" t="n">
        <v>2</v>
      </c>
      <c r="E28" s="0" t="s">
        <v>32</v>
      </c>
    </row>
    <row r="29" customFormat="false" ht="15" hidden="false" customHeight="false" outlineLevel="0" collapsed="false">
      <c r="A29" s="0" t="n">
        <v>28</v>
      </c>
      <c r="B29" s="0" t="s">
        <v>51</v>
      </c>
      <c r="C29" s="0" t="s">
        <v>50</v>
      </c>
      <c r="D29" s="0" t="n">
        <v>15</v>
      </c>
      <c r="E29" s="0" t="s">
        <v>48</v>
      </c>
    </row>
    <row r="30" customFormat="false" ht="15" hidden="false" customHeight="false" outlineLevel="0" collapsed="false">
      <c r="A30" s="0" t="n">
        <v>29</v>
      </c>
      <c r="B30" s="0" t="s">
        <v>60</v>
      </c>
      <c r="C30" s="0" t="s">
        <v>59</v>
      </c>
      <c r="D30" s="0" t="n">
        <v>3</v>
      </c>
      <c r="E30" s="0" t="s">
        <v>51</v>
      </c>
    </row>
    <row r="31" customFormat="false" ht="15" hidden="false" customHeight="false" outlineLevel="0" collapsed="false">
      <c r="A31" s="0" t="n">
        <v>30</v>
      </c>
      <c r="B31" s="0" t="s">
        <v>53</v>
      </c>
      <c r="C31" s="0" t="s">
        <v>52</v>
      </c>
      <c r="D31" s="0" t="n">
        <v>2</v>
      </c>
      <c r="E31" s="0" t="s">
        <v>60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s">
        <v>43</v>
      </c>
      <c r="D32" s="0" t="n">
        <v>5</v>
      </c>
      <c r="E32" s="0" t="s">
        <v>60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0" t="s">
        <v>43</v>
      </c>
      <c r="D33" s="0" t="n">
        <v>8</v>
      </c>
      <c r="E33" s="0" t="s">
        <v>60</v>
      </c>
    </row>
    <row r="34" customFormat="false" ht="15" hidden="false" customHeight="false" outlineLevel="0" collapsed="false">
      <c r="A34" s="0" t="n">
        <v>33</v>
      </c>
      <c r="B34" s="0" t="s">
        <v>126</v>
      </c>
      <c r="C34" s="0" t="s">
        <v>56</v>
      </c>
      <c r="D34" s="0" t="n">
        <v>20</v>
      </c>
      <c r="E34" s="0" t="s">
        <v>44</v>
      </c>
      <c r="F34" s="0" t="s">
        <v>56</v>
      </c>
    </row>
    <row r="35" customFormat="false" ht="15" hidden="false" customHeight="false" outlineLevel="0" collapsed="false">
      <c r="A35" s="0" t="n">
        <v>34</v>
      </c>
      <c r="B35" s="0" t="s">
        <v>58</v>
      </c>
      <c r="C35" s="0" t="s">
        <v>56</v>
      </c>
      <c r="D35" s="0" t="n">
        <v>2</v>
      </c>
      <c r="E35" s="0" t="s">
        <v>27</v>
      </c>
      <c r="F35" s="0" t="s">
        <v>56</v>
      </c>
    </row>
    <row r="36" customFormat="false" ht="15" hidden="false" customHeight="false" outlineLevel="0" collapsed="false">
      <c r="A36" s="0" t="n">
        <v>35</v>
      </c>
      <c r="B36" s="0" t="s">
        <v>64</v>
      </c>
      <c r="C36" s="0" t="s">
        <v>63</v>
      </c>
      <c r="D36" s="0" t="n">
        <v>3</v>
      </c>
      <c r="E36" s="0" t="s">
        <v>44</v>
      </c>
    </row>
    <row r="37" customFormat="false" ht="15" hidden="false" customHeight="false" outlineLevel="0" collapsed="false">
      <c r="A37" s="0" t="n">
        <v>36</v>
      </c>
      <c r="B37" s="0" t="s">
        <v>66</v>
      </c>
      <c r="C37" s="0" t="s">
        <v>65</v>
      </c>
      <c r="D37" s="0" t="n">
        <v>2</v>
      </c>
      <c r="E37" s="0" t="s">
        <v>64</v>
      </c>
    </row>
    <row r="38" customFormat="false" ht="15" hidden="false" customHeight="false" outlineLevel="0" collapsed="false">
      <c r="A38" s="0" t="n">
        <v>37</v>
      </c>
      <c r="B38" s="0" t="s">
        <v>61</v>
      </c>
      <c r="C38" s="0" t="s">
        <v>59</v>
      </c>
      <c r="D38" s="0" t="n">
        <v>10</v>
      </c>
      <c r="E38" s="0" t="s">
        <v>66</v>
      </c>
    </row>
    <row r="39" customFormat="false" ht="15" hidden="false" customHeight="false" outlineLevel="0" collapsed="false">
      <c r="A39" s="0" t="n">
        <v>38</v>
      </c>
      <c r="B39" s="0" t="s">
        <v>34</v>
      </c>
      <c r="C39" s="0" t="s">
        <v>30</v>
      </c>
      <c r="D39" s="0" t="n">
        <v>2</v>
      </c>
      <c r="E39" s="0" t="s">
        <v>66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s">
        <v>35</v>
      </c>
      <c r="D40" s="0" t="n">
        <v>2</v>
      </c>
      <c r="E40" s="0" t="s">
        <v>61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s">
        <v>39</v>
      </c>
      <c r="D41" s="0" t="n">
        <v>2</v>
      </c>
      <c r="E41" s="0" t="s">
        <v>66</v>
      </c>
      <c r="F41" s="0" t="s">
        <v>39</v>
      </c>
    </row>
    <row r="42" customFormat="false" ht="15" hidden="false" customHeight="false" outlineLevel="0" collapsed="false">
      <c r="A42" s="0" t="n">
        <v>41</v>
      </c>
      <c r="B42" s="0" t="s">
        <v>33</v>
      </c>
      <c r="C42" s="0" t="s">
        <v>30</v>
      </c>
      <c r="D42" s="0" t="n">
        <v>4</v>
      </c>
      <c r="E42" s="0" t="s">
        <v>61</v>
      </c>
    </row>
    <row r="43" customFormat="false" ht="15" hidden="false" customHeight="false" outlineLevel="0" collapsed="false">
      <c r="A43" s="0" t="n">
        <v>42</v>
      </c>
      <c r="B43" s="0" t="s">
        <v>49</v>
      </c>
      <c r="C43" s="0" t="s">
        <v>46</v>
      </c>
      <c r="D43" s="0" t="n">
        <v>2</v>
      </c>
      <c r="E43" s="0" t="s">
        <v>33</v>
      </c>
    </row>
    <row r="44" customFormat="false" ht="15" hidden="false" customHeight="false" outlineLevel="0" collapsed="false">
      <c r="A44" s="0" t="n">
        <v>43</v>
      </c>
      <c r="B44" s="0" t="s">
        <v>62</v>
      </c>
      <c r="C44" s="0" t="s">
        <v>59</v>
      </c>
      <c r="D44" s="0" t="n">
        <v>5</v>
      </c>
      <c r="E44" s="0" t="s">
        <v>33</v>
      </c>
    </row>
    <row r="45" customFormat="false" ht="15" hidden="false" customHeight="false" outlineLevel="0" collapsed="false">
      <c r="A45" s="0" t="n">
        <v>44</v>
      </c>
      <c r="B45" s="0" t="s">
        <v>79</v>
      </c>
      <c r="C45" s="0" t="s">
        <v>78</v>
      </c>
      <c r="D45" s="0" t="n">
        <v>3</v>
      </c>
      <c r="E45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8" min="5" style="0" width="18"/>
    <col collapsed="false" customWidth="true" hidden="false" outlineLevel="0" max="10" min="9" style="0" width="24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9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40" t="s">
        <v>127</v>
      </c>
      <c r="B1" s="40" t="s">
        <v>87</v>
      </c>
      <c r="C1" s="40" t="s">
        <v>128</v>
      </c>
      <c r="D1" s="40" t="s">
        <v>115</v>
      </c>
      <c r="E1" s="40" t="s">
        <v>116</v>
      </c>
      <c r="F1" s="40" t="s">
        <v>88</v>
      </c>
      <c r="G1" s="40" t="s">
        <v>119</v>
      </c>
      <c r="H1" s="40" t="s">
        <v>118</v>
      </c>
      <c r="I1" s="40" t="s">
        <v>129</v>
      </c>
      <c r="J1" s="40" t="s">
        <v>130</v>
      </c>
      <c r="K1" s="40" t="s">
        <v>131</v>
      </c>
      <c r="L1" s="40" t="s">
        <v>132</v>
      </c>
      <c r="M1" s="40" t="s">
        <v>133</v>
      </c>
      <c r="N1" s="40" t="s">
        <v>134</v>
      </c>
      <c r="O1" s="40" t="s">
        <v>135</v>
      </c>
      <c r="P1" s="40" t="s">
        <v>136</v>
      </c>
      <c r="Q1" s="40" t="s">
        <v>137</v>
      </c>
    </row>
    <row r="2" customFormat="false" ht="15" hidden="false" customHeight="false" outlineLevel="0" collapsed="false">
      <c r="A2" s="0" t="n">
        <v>1</v>
      </c>
      <c r="B2" s="0" t="s">
        <v>94</v>
      </c>
      <c r="C2" s="44" t="n">
        <f aca="false">INDEX(Projects!$B$2:$B$100,MATCH(B2,Projects!$A$2:$A$100,0))</f>
        <v>46113</v>
      </c>
      <c r="D2" s="0" t="n">
        <v>1</v>
      </c>
      <c r="E2" s="0" t="s">
        <v>16</v>
      </c>
      <c r="F2" s="0" t="s">
        <v>120</v>
      </c>
      <c r="I2" s="45" t="str">
        <f aca="false">B2&amp;"|"&amp;E2</f>
        <v>IW10|Estimate</v>
      </c>
      <c r="J2" s="45" t="str">
        <f aca="false">IF(H2="","",B2&amp;"|"&amp;H2)</f>
        <v/>
      </c>
      <c r="K2" s="46" t="n">
        <v>10</v>
      </c>
      <c r="L2" s="47" t="n">
        <f aca="false">IF(H2="",C2,WORKDAY(INDEX($O$2:$O$2000,MATCH(J2,$I$2:$I$2000,0)),1))</f>
        <v>46113</v>
      </c>
      <c r="M2" s="47" t="str">
        <f aca="false">IF(G2="","",IFERROR(maxifs($O$2:O1,$G$2:G1,G2),""))</f>
        <v/>
      </c>
      <c r="N2" s="47" t="n">
        <f aca="false">IF(G2="",L2,MAX(L2,IF(M2="",L2,WORKDAY(M2,1))))</f>
        <v>46113</v>
      </c>
      <c r="O2" s="47" t="n">
        <f aca="false">WORKDAY(N2,K2-1)</f>
        <v>46126</v>
      </c>
      <c r="P2" s="45" t="n">
        <f aca="false">MAX(0,NETWORKDAYS(L2,N2)-1)</f>
        <v>0</v>
      </c>
      <c r="Q2" s="45" t="str">
        <f aca="false">IF(P2&gt;0,"BOTTLENECK DELAY","")</f>
        <v/>
      </c>
    </row>
    <row r="3" customFormat="false" ht="15" hidden="false" customHeight="false" outlineLevel="0" collapsed="false">
      <c r="A3" s="0" t="n">
        <v>2</v>
      </c>
      <c r="B3" s="0" t="s">
        <v>94</v>
      </c>
      <c r="C3" s="44" t="n">
        <f aca="false">INDEX(Projects!$B$2:$B$100,MATCH(B3,Projects!$A$2:$A$100,0))</f>
        <v>46113</v>
      </c>
      <c r="D3" s="0" t="n">
        <v>2</v>
      </c>
      <c r="E3" s="0" t="s">
        <v>17</v>
      </c>
      <c r="F3" s="0" t="s">
        <v>120</v>
      </c>
      <c r="H3" s="0" t="s">
        <v>16</v>
      </c>
      <c r="I3" s="45" t="str">
        <f aca="false">B3&amp;"|"&amp;E3</f>
        <v>IW10|Clearing</v>
      </c>
      <c r="J3" s="45" t="str">
        <f aca="false">IF(H3="","",B3&amp;"|"&amp;H3)</f>
        <v>IW10|Estimate</v>
      </c>
      <c r="K3" s="46" t="n">
        <v>3</v>
      </c>
      <c r="L3" s="47" t="n">
        <f aca="false">IF(H3="",C3,WORKDAY(INDEX($O$2:$O$2000,MATCH(J3,$I$2:$I$2000,0)),1))</f>
        <v>46127</v>
      </c>
      <c r="M3" s="47" t="str">
        <f aca="false">IF(G3="","",IFERROR(maxifs($O$2:O2,$G$2:G2,G3),""))</f>
        <v/>
      </c>
      <c r="N3" s="47" t="n">
        <f aca="false">IF(G3="",L3,MAX(L3,IF(M3="",L3,WORKDAY(M3,1))))</f>
        <v>46127</v>
      </c>
      <c r="O3" s="47" t="n">
        <f aca="false">WORKDAY(N3,K3-1)</f>
        <v>46129</v>
      </c>
      <c r="P3" s="45" t="n">
        <f aca="false">MAX(0,NETWORKDAYS(L3,N3)-1)</f>
        <v>0</v>
      </c>
      <c r="Q3" s="45" t="str">
        <f aca="false">IF(P3&gt;0,"BOTTLENECK DELAY","")</f>
        <v/>
      </c>
    </row>
    <row r="4" customFormat="false" ht="15" hidden="false" customHeight="false" outlineLevel="0" collapsed="false">
      <c r="A4" s="0" t="n">
        <v>3</v>
      </c>
      <c r="B4" s="0" t="s">
        <v>94</v>
      </c>
      <c r="C4" s="44" t="n">
        <f aca="false">INDEX(Projects!$B$2:$B$100,MATCH(B4,Projects!$A$2:$A$100,0))</f>
        <v>46113</v>
      </c>
      <c r="D4" s="0" t="n">
        <v>3</v>
      </c>
      <c r="E4" s="0" t="s">
        <v>18</v>
      </c>
      <c r="F4" s="0" t="s">
        <v>120</v>
      </c>
      <c r="H4" s="0" t="s">
        <v>17</v>
      </c>
      <c r="I4" s="45" t="str">
        <f aca="false">B4&amp;"|"&amp;E4</f>
        <v>IW10|Site Prep</v>
      </c>
      <c r="J4" s="45" t="str">
        <f aca="false">IF(H4="","",B4&amp;"|"&amp;H4)</f>
        <v>IW10|Clearing</v>
      </c>
      <c r="K4" s="46" t="n">
        <v>2</v>
      </c>
      <c r="L4" s="47" t="n">
        <f aca="false">IF(H4="",C4,WORKDAY(INDEX($O$2:$O$2000,MATCH(J4,$I$2:$I$2000,0)),1))</f>
        <v>46132</v>
      </c>
      <c r="M4" s="47" t="str">
        <f aca="false">IF(G4="","",IFERROR(maxifs($O$2:O3,$G$2:G3,G4),""))</f>
        <v/>
      </c>
      <c r="N4" s="47" t="n">
        <f aca="false">IF(G4="",L4,MAX(L4,IF(M4="",L4,WORKDAY(M4,1))))</f>
        <v>46132</v>
      </c>
      <c r="O4" s="47" t="n">
        <f aca="false">WORKDAY(N4,K4-1)</f>
        <v>46133</v>
      </c>
      <c r="P4" s="45" t="n">
        <f aca="false">MAX(0,NETWORKDAYS(L4,N4)-1)</f>
        <v>0</v>
      </c>
      <c r="Q4" s="45" t="str">
        <f aca="false">IF(P4&gt;0,"BOTTLENECK DELAY","")</f>
        <v/>
      </c>
    </row>
    <row r="5" customFormat="false" ht="15" hidden="false" customHeight="false" outlineLevel="0" collapsed="false">
      <c r="A5" s="0" t="n">
        <v>4</v>
      </c>
      <c r="B5" s="0" t="s">
        <v>94</v>
      </c>
      <c r="C5" s="44" t="n">
        <f aca="false">INDEX(Projects!$B$2:$B$100,MATCH(B5,Projects!$A$2:$A$100,0))</f>
        <v>46113</v>
      </c>
      <c r="D5" s="0" t="n">
        <v>4</v>
      </c>
      <c r="E5" s="0" t="s">
        <v>12</v>
      </c>
      <c r="F5" s="0" t="s">
        <v>121</v>
      </c>
      <c r="G5" s="0" t="s">
        <v>121</v>
      </c>
      <c r="H5" s="0" t="s">
        <v>18</v>
      </c>
      <c r="I5" s="45" t="str">
        <f aca="false">B5&amp;"|"&amp;E5</f>
        <v>IW10|Footer</v>
      </c>
      <c r="J5" s="45" t="str">
        <f aca="false">IF(H5="","",B5&amp;"|"&amp;H5)</f>
        <v>IW10|Site Prep</v>
      </c>
      <c r="K5" s="46" t="n">
        <v>4</v>
      </c>
      <c r="L5" s="47" t="n">
        <f aca="false">IF(H5="",C5,WORKDAY(INDEX($O$2:$O$2000,MATCH(J5,$I$2:$I$2000,0)),1))</f>
        <v>46134</v>
      </c>
      <c r="M5" s="47" t="str">
        <f aca="false">IF(G5="","",IFERROR(maxifs($O$2:O4,$G$2:G4,G5),""))</f>
        <v/>
      </c>
      <c r="N5" s="47" t="n">
        <f aca="false">IF(G5="",L5,MAX(L5,IF(M5="",L5,WORKDAY(M5,1))))</f>
        <v>46134</v>
      </c>
      <c r="O5" s="47" t="n">
        <f aca="false">WORKDAY(N5,K5-1)</f>
        <v>46139</v>
      </c>
      <c r="P5" s="45" t="n">
        <f aca="false">MAX(0,NETWORKDAYS(L5,N5)-1)</f>
        <v>0</v>
      </c>
      <c r="Q5" s="45" t="str">
        <f aca="false">IF(P5&gt;0,"BOTTLENECK DELAY","")</f>
        <v/>
      </c>
    </row>
    <row r="6" customFormat="false" ht="15" hidden="false" customHeight="false" outlineLevel="0" collapsed="false">
      <c r="A6" s="0" t="n">
        <v>5</v>
      </c>
      <c r="B6" s="0" t="s">
        <v>94</v>
      </c>
      <c r="C6" s="44" t="n">
        <f aca="false">INDEX(Projects!$B$2:$B$100,MATCH(B6,Projects!$A$2:$A$100,0))</f>
        <v>46113</v>
      </c>
      <c r="D6" s="0" t="n">
        <v>5</v>
      </c>
      <c r="E6" s="0" t="s">
        <v>22</v>
      </c>
      <c r="F6" s="0" t="s">
        <v>21</v>
      </c>
      <c r="H6" s="0" t="s">
        <v>12</v>
      </c>
      <c r="I6" s="45" t="str">
        <f aca="false">B6&amp;"|"&amp;E6</f>
        <v>IW10|Block</v>
      </c>
      <c r="J6" s="45" t="str">
        <f aca="false">IF(H6="","",B6&amp;"|"&amp;H6)</f>
        <v>IW10|Footer</v>
      </c>
      <c r="K6" s="46" t="n">
        <v>10</v>
      </c>
      <c r="L6" s="47" t="n">
        <f aca="false">IF(H6="",C6,WORKDAY(INDEX($O$2:$O$2000,MATCH(J6,$I$2:$I$2000,0)),1))</f>
        <v>46140</v>
      </c>
      <c r="M6" s="47" t="str">
        <f aca="false">IF(G6="","",IFERROR(maxifs($O$2:O5,$G$2:G5,G6),""))</f>
        <v/>
      </c>
      <c r="N6" s="47" t="n">
        <f aca="false">IF(G6="",L6,MAX(L6,IF(M6="",L6,WORKDAY(M6,1))))</f>
        <v>46140</v>
      </c>
      <c r="O6" s="47" t="n">
        <f aca="false">WORKDAY(N6,K6-1)</f>
        <v>46153</v>
      </c>
      <c r="P6" s="45" t="n">
        <f aca="false">MAX(0,NETWORKDAYS(L6,N6)-1)</f>
        <v>0</v>
      </c>
      <c r="Q6" s="45" t="str">
        <f aca="false">IF(P6&gt;0,"BOTTLENECK DELAY","")</f>
        <v/>
      </c>
    </row>
    <row r="7" customFormat="false" ht="15" hidden="false" customHeight="false" outlineLevel="0" collapsed="false">
      <c r="A7" s="0" t="n">
        <v>6</v>
      </c>
      <c r="B7" s="0" t="s">
        <v>94</v>
      </c>
      <c r="C7" s="44" t="n">
        <f aca="false">INDEX(Projects!$B$2:$B$100,MATCH(B7,Projects!$A$2:$A$100,0))</f>
        <v>46113</v>
      </c>
      <c r="D7" s="0" t="n">
        <v>6</v>
      </c>
      <c r="E7" s="0" t="s">
        <v>72</v>
      </c>
      <c r="F7" s="0" t="s">
        <v>69</v>
      </c>
      <c r="H7" s="0" t="s">
        <v>22</v>
      </c>
      <c r="I7" s="45" t="str">
        <f aca="false">B7&amp;"|"&amp;E7</f>
        <v>IW10|French Drain</v>
      </c>
      <c r="J7" s="45" t="str">
        <f aca="false">IF(H7="","",B7&amp;"|"&amp;H7)</f>
        <v>IW10|Block</v>
      </c>
      <c r="K7" s="46" t="n">
        <v>2</v>
      </c>
      <c r="L7" s="47" t="n">
        <f aca="false">IF(H7="",C7,WORKDAY(INDEX($O$2:$O$2000,MATCH(J7,$I$2:$I$2000,0)),1))</f>
        <v>46154</v>
      </c>
      <c r="M7" s="47" t="str">
        <f aca="false">IF(G7="","",IFERROR(maxifs($O$2:O6,$G$2:G6,G7),""))</f>
        <v/>
      </c>
      <c r="N7" s="47" t="n">
        <f aca="false">IF(G7="",L7,MAX(L7,IF(M7="",L7,WORKDAY(M7,1))))</f>
        <v>46154</v>
      </c>
      <c r="O7" s="47" t="n">
        <f aca="false">WORKDAY(N7,K7-1)</f>
        <v>46155</v>
      </c>
      <c r="P7" s="45" t="n">
        <f aca="false">MAX(0,NETWORKDAYS(L7,N7)-1)</f>
        <v>0</v>
      </c>
      <c r="Q7" s="45" t="str">
        <f aca="false">IF(P7&gt;0,"BOTTLENECK DELAY","")</f>
        <v/>
      </c>
    </row>
    <row r="8" customFormat="false" ht="15" hidden="false" customHeight="false" outlineLevel="0" collapsed="false">
      <c r="A8" s="0" t="n">
        <v>7</v>
      </c>
      <c r="B8" s="0" t="s">
        <v>94</v>
      </c>
      <c r="C8" s="44" t="n">
        <f aca="false">INDEX(Projects!$B$2:$B$100,MATCH(B8,Projects!$A$2:$A$100,0))</f>
        <v>46113</v>
      </c>
      <c r="D8" s="0" t="n">
        <v>7</v>
      </c>
      <c r="E8" s="0" t="s">
        <v>47</v>
      </c>
      <c r="F8" s="0" t="s">
        <v>46</v>
      </c>
      <c r="H8" s="0" t="s">
        <v>22</v>
      </c>
      <c r="I8" s="45" t="str">
        <f aca="false">B8&amp;"|"&amp;E8</f>
        <v>IW10|Insulation Block</v>
      </c>
      <c r="J8" s="45" t="str">
        <f aca="false">IF(H8="","",B8&amp;"|"&amp;H8)</f>
        <v>IW10|Block</v>
      </c>
      <c r="K8" s="46" t="n">
        <v>2</v>
      </c>
      <c r="L8" s="47" t="n">
        <f aca="false">IF(H8="",C8,WORKDAY(INDEX($O$2:$O$2000,MATCH(J8,$I$2:$I$2000,0)),1))</f>
        <v>46154</v>
      </c>
      <c r="M8" s="47" t="str">
        <f aca="false">IF(G8="","",IFERROR(maxifs($O$2:O7,$G$2:G7,G8),""))</f>
        <v/>
      </c>
      <c r="N8" s="47" t="n">
        <f aca="false">IF(G8="",L8,MAX(L8,IF(M8="",L8,WORKDAY(M8,1))))</f>
        <v>46154</v>
      </c>
      <c r="O8" s="47" t="n">
        <f aca="false">WORKDAY(N8,K8-1)</f>
        <v>46155</v>
      </c>
      <c r="P8" s="45" t="n">
        <f aca="false">MAX(0,NETWORKDAYS(L8,N8)-1)</f>
        <v>0</v>
      </c>
      <c r="Q8" s="45" t="str">
        <f aca="false">IF(P8&gt;0,"BOTTLENECK DELAY","")</f>
        <v/>
      </c>
    </row>
    <row r="9" customFormat="false" ht="15" hidden="false" customHeight="false" outlineLevel="0" collapsed="false">
      <c r="A9" s="0" t="n">
        <v>8</v>
      </c>
      <c r="B9" s="0" t="s">
        <v>94</v>
      </c>
      <c r="C9" s="44" t="n">
        <f aca="false">INDEX(Projects!$B$2:$B$100,MATCH(B9,Projects!$A$2:$A$100,0))</f>
        <v>46113</v>
      </c>
      <c r="D9" s="0" t="n">
        <v>8</v>
      </c>
      <c r="E9" s="0" t="s">
        <v>95</v>
      </c>
      <c r="H9" s="0" t="s">
        <v>47</v>
      </c>
      <c r="I9" s="45" t="str">
        <f aca="false">B9&amp;"|"&amp;E9</f>
        <v>IW10|Rock Work</v>
      </c>
      <c r="J9" s="45" t="str">
        <f aca="false">IF(H9="","",B9&amp;"|"&amp;H9)</f>
        <v>IW10|Insulation Block</v>
      </c>
      <c r="K9" s="46" t="n">
        <v>2</v>
      </c>
      <c r="L9" s="47" t="n">
        <f aca="false">IF(H9="",C9,WORKDAY(INDEX($O$2:$O$2000,MATCH(J9,$I$2:$I$2000,0)),1))</f>
        <v>46156</v>
      </c>
      <c r="M9" s="47" t="str">
        <f aca="false">IF(G9="","",IFERROR(maxifs($O$2:O8,$G$2:G8,G9),""))</f>
        <v/>
      </c>
      <c r="N9" s="47" t="n">
        <f aca="false">IF(G9="",L9,MAX(L9,IF(M9="",L9,WORKDAY(M9,1))))</f>
        <v>46156</v>
      </c>
      <c r="O9" s="47" t="n">
        <f aca="false">WORKDAY(N9,K9-1)</f>
        <v>46157</v>
      </c>
      <c r="P9" s="45" t="n">
        <f aca="false">MAX(0,NETWORKDAYS(L9,N9)-1)</f>
        <v>0</v>
      </c>
      <c r="Q9" s="45" t="str">
        <f aca="false">IF(P9&gt;0,"BOTTLENECK DELAY","")</f>
        <v/>
      </c>
    </row>
    <row r="10" customFormat="false" ht="15" hidden="false" customHeight="false" outlineLevel="0" collapsed="false">
      <c r="A10" s="0" t="n">
        <v>9</v>
      </c>
      <c r="B10" s="0" t="s">
        <v>94</v>
      </c>
      <c r="C10" s="44" t="n">
        <f aca="false">INDEX(Projects!$B$2:$B$100,MATCH(B10,Projects!$A$2:$A$100,0))</f>
        <v>46113</v>
      </c>
      <c r="D10" s="0" t="n">
        <v>9</v>
      </c>
      <c r="E10" s="0" t="s">
        <v>36</v>
      </c>
      <c r="F10" s="0" t="s">
        <v>35</v>
      </c>
      <c r="H10" s="0" t="s">
        <v>95</v>
      </c>
      <c r="I10" s="45" t="str">
        <f aca="false">B10&amp;"|"&amp;E10</f>
        <v>IW10|HVAC Pre</v>
      </c>
      <c r="J10" s="45" t="str">
        <f aca="false">IF(H10="","",B10&amp;"|"&amp;H10)</f>
        <v>IW10|Rock Work</v>
      </c>
      <c r="K10" s="46" t="n">
        <v>2</v>
      </c>
      <c r="L10" s="47" t="n">
        <f aca="false">IF(H10="",C10,WORKDAY(INDEX($O$2:$O$2000,MATCH(J10,$I$2:$I$2000,0)),1))</f>
        <v>46160</v>
      </c>
      <c r="M10" s="47" t="str">
        <f aca="false">IF(G10="","",IFERROR(maxifs($O$2:O9,$G$2:G9,G10),""))</f>
        <v/>
      </c>
      <c r="N10" s="47" t="n">
        <f aca="false">IF(G10="",L10,MAX(L10,IF(M10="",L10,WORKDAY(M10,1))))</f>
        <v>46160</v>
      </c>
      <c r="O10" s="47" t="n">
        <f aca="false">WORKDAY(N10,K10-1)</f>
        <v>46161</v>
      </c>
      <c r="P10" s="45" t="n">
        <f aca="false">MAX(0,NETWORKDAYS(L10,N10)-1)</f>
        <v>0</v>
      </c>
      <c r="Q10" s="45" t="str">
        <f aca="false">IF(P10&gt;0,"BOTTLENECK DELAY","")</f>
        <v/>
      </c>
    </row>
    <row r="11" customFormat="false" ht="15" hidden="false" customHeight="false" outlineLevel="0" collapsed="false">
      <c r="A11" s="0" t="n">
        <v>10</v>
      </c>
      <c r="B11" s="0" t="s">
        <v>94</v>
      </c>
      <c r="C11" s="44" t="n">
        <f aca="false">INDEX(Projects!$B$2:$B$100,MATCH(B11,Projects!$A$2:$A$100,0))</f>
        <v>46113</v>
      </c>
      <c r="D11" s="0" t="n">
        <v>10</v>
      </c>
      <c r="E11" s="0" t="s">
        <v>40</v>
      </c>
      <c r="F11" s="0" t="s">
        <v>39</v>
      </c>
      <c r="G11" s="0" t="s">
        <v>39</v>
      </c>
      <c r="H11" s="0" t="s">
        <v>95</v>
      </c>
      <c r="I11" s="45" t="str">
        <f aca="false">B11&amp;"|"&amp;E11</f>
        <v>IW10|Plumbing Pre</v>
      </c>
      <c r="J11" s="45" t="str">
        <f aca="false">IF(H11="","",B11&amp;"|"&amp;H11)</f>
        <v>IW10|Rock Work</v>
      </c>
      <c r="K11" s="46" t="n">
        <v>5</v>
      </c>
      <c r="L11" s="47" t="n">
        <f aca="false">IF(H11="",C11,WORKDAY(INDEX($O$2:$O$2000,MATCH(J11,$I$2:$I$2000,0)),1))</f>
        <v>46160</v>
      </c>
      <c r="M11" s="47" t="str">
        <f aca="false">IF(G11="","",IFERROR(maxifs($O$2:O10,$G$2:G10,G11),""))</f>
        <v/>
      </c>
      <c r="N11" s="47" t="n">
        <f aca="false">IF(G11="",L11,MAX(L11,IF(M11="",L11,WORKDAY(M11,1))))</f>
        <v>46160</v>
      </c>
      <c r="O11" s="47" t="n">
        <f aca="false">WORKDAY(N11,K11-1)</f>
        <v>46164</v>
      </c>
      <c r="P11" s="45" t="n">
        <f aca="false">MAX(0,NETWORKDAYS(L11,N11)-1)</f>
        <v>0</v>
      </c>
      <c r="Q11" s="45" t="str">
        <f aca="false">IF(P11&gt;0,"BOTTLENECK DELAY","")</f>
        <v/>
      </c>
    </row>
    <row r="12" customFormat="false" ht="15" hidden="false" customHeight="false" outlineLevel="0" collapsed="false">
      <c r="A12" s="0" t="n">
        <v>11</v>
      </c>
      <c r="B12" s="0" t="s">
        <v>94</v>
      </c>
      <c r="C12" s="44" t="n">
        <f aca="false">INDEX(Projects!$B$2:$B$100,MATCH(B12,Projects!$A$2:$A$100,0))</f>
        <v>46113</v>
      </c>
      <c r="D12" s="0" t="n">
        <v>11</v>
      </c>
      <c r="E12" s="0" t="s">
        <v>31</v>
      </c>
      <c r="F12" s="0" t="s">
        <v>30</v>
      </c>
      <c r="H12" s="0" t="s">
        <v>95</v>
      </c>
      <c r="I12" s="45" t="str">
        <f aca="false">B12&amp;"|"&amp;E12</f>
        <v>IW10|Electrical Pre</v>
      </c>
      <c r="J12" s="45" t="str">
        <f aca="false">IF(H12="","",B12&amp;"|"&amp;H12)</f>
        <v>IW10|Rock Work</v>
      </c>
      <c r="K12" s="46" t="n">
        <v>2</v>
      </c>
      <c r="L12" s="47" t="n">
        <f aca="false">IF(H12="",C12,WORKDAY(INDEX($O$2:$O$2000,MATCH(J12,$I$2:$I$2000,0)),1))</f>
        <v>46160</v>
      </c>
      <c r="M12" s="47" t="str">
        <f aca="false">IF(G12="","",IFERROR(maxifs($O$2:O11,$G$2:G11,G12),""))</f>
        <v/>
      </c>
      <c r="N12" s="47" t="n">
        <f aca="false">IF(G12="",L12,MAX(L12,IF(M12="",L12,WORKDAY(M12,1))))</f>
        <v>46160</v>
      </c>
      <c r="O12" s="47" t="n">
        <f aca="false">WORKDAY(N12,K12-1)</f>
        <v>46161</v>
      </c>
      <c r="P12" s="45" t="n">
        <f aca="false">MAX(0,NETWORKDAYS(L12,N12)-1)</f>
        <v>0</v>
      </c>
      <c r="Q12" s="45" t="str">
        <f aca="false">IF(P12&gt;0,"BOTTLENECK DELAY","")</f>
        <v/>
      </c>
    </row>
    <row r="13" customFormat="false" ht="15" hidden="false" customHeight="false" outlineLevel="0" collapsed="false">
      <c r="A13" s="0" t="n">
        <v>12</v>
      </c>
      <c r="B13" s="0" t="s">
        <v>94</v>
      </c>
      <c r="C13" s="44" t="n">
        <f aca="false">INDEX(Projects!$B$2:$B$100,MATCH(B13,Projects!$A$2:$A$100,0))</f>
        <v>46113</v>
      </c>
      <c r="D13" s="0" t="n">
        <v>12</v>
      </c>
      <c r="E13" s="0" t="s">
        <v>13</v>
      </c>
      <c r="F13" s="0" t="s">
        <v>121</v>
      </c>
      <c r="G13" s="0" t="s">
        <v>121</v>
      </c>
      <c r="H13" s="0" t="s">
        <v>40</v>
      </c>
      <c r="I13" s="45" t="str">
        <f aca="false">B13&amp;"|"&amp;E13</f>
        <v>IW10|Slab</v>
      </c>
      <c r="J13" s="45" t="str">
        <f aca="false">IF(H13="","",B13&amp;"|"&amp;H13)</f>
        <v>IW10|Plumbing Pre</v>
      </c>
      <c r="K13" s="46" t="n">
        <v>4</v>
      </c>
      <c r="L13" s="47" t="n">
        <f aca="false">IF(H13="",C13,WORKDAY(INDEX($O$2:$O$2000,MATCH(J13,$I$2:$I$2000,0)),1))</f>
        <v>46167</v>
      </c>
      <c r="M13" s="47" t="str">
        <f aca="false">IF(G13="","",IFERROR(maxifs($O$2:O12,$G$2:G12,G13),""))</f>
        <v/>
      </c>
      <c r="N13" s="47" t="n">
        <f aca="false">IF(G13="",L13,MAX(L13,IF(M13="",L13,WORKDAY(M13,1))))</f>
        <v>46167</v>
      </c>
      <c r="O13" s="47" t="n">
        <f aca="false">WORKDAY(N13,K13-1)</f>
        <v>46170</v>
      </c>
      <c r="P13" s="45" t="n">
        <f aca="false">MAX(0,NETWORKDAYS(L13,N13)-1)</f>
        <v>0</v>
      </c>
      <c r="Q13" s="45" t="str">
        <f aca="false">IF(P13&gt;0,"BOTTLENECK DELAY","")</f>
        <v/>
      </c>
    </row>
    <row r="14" customFormat="false" ht="15" hidden="false" customHeight="false" outlineLevel="0" collapsed="false">
      <c r="A14" s="0" t="n">
        <v>13</v>
      </c>
      <c r="B14" s="0" t="s">
        <v>94</v>
      </c>
      <c r="C14" s="44" t="n">
        <f aca="false">INDEX(Projects!$B$2:$B$100,MATCH(B14,Projects!$A$2:$A$100,0))</f>
        <v>46113</v>
      </c>
      <c r="D14" s="0" t="n">
        <v>13</v>
      </c>
      <c r="E14" s="0" t="s">
        <v>26</v>
      </c>
      <c r="F14" s="0" t="s">
        <v>122</v>
      </c>
      <c r="H14" s="0" t="s">
        <v>13</v>
      </c>
      <c r="I14" s="45" t="str">
        <f aca="false">B14&amp;"|"&amp;E14</f>
        <v>IW10|Framing</v>
      </c>
      <c r="J14" s="45" t="str">
        <f aca="false">IF(H14="","",B14&amp;"|"&amp;H14)</f>
        <v>IW10|Slab</v>
      </c>
      <c r="K14" s="46" t="n">
        <v>30</v>
      </c>
      <c r="L14" s="47" t="n">
        <f aca="false">IF(H14="",C14,WORKDAY(INDEX($O$2:$O$2000,MATCH(J14,$I$2:$I$2000,0)),1))</f>
        <v>46171</v>
      </c>
      <c r="M14" s="47" t="str">
        <f aca="false">IF(G14="","",IFERROR(maxifs($O$2:O13,$G$2:G13,G14),""))</f>
        <v/>
      </c>
      <c r="N14" s="47" t="n">
        <f aca="false">IF(G14="",L14,MAX(L14,IF(M14="",L14,WORKDAY(M14,1))))</f>
        <v>46171</v>
      </c>
      <c r="O14" s="47" t="n">
        <f aca="false">WORKDAY(N14,K14-1)</f>
        <v>46212</v>
      </c>
      <c r="P14" s="45" t="n">
        <f aca="false">MAX(0,NETWORKDAYS(L14,N14)-1)</f>
        <v>0</v>
      </c>
      <c r="Q14" s="45" t="str">
        <f aca="false">IF(P14&gt;0,"BOTTLENECK DELAY","")</f>
        <v/>
      </c>
    </row>
    <row r="15" customFormat="false" ht="15" hidden="false" customHeight="false" outlineLevel="0" collapsed="false">
      <c r="A15" s="0" t="n">
        <v>14</v>
      </c>
      <c r="B15" s="0" t="s">
        <v>94</v>
      </c>
      <c r="C15" s="44" t="n">
        <f aca="false">INDEX(Projects!$B$2:$B$100,MATCH(B15,Projects!$A$2:$A$100,0))</f>
        <v>46113</v>
      </c>
      <c r="D15" s="0" t="n">
        <v>14</v>
      </c>
      <c r="E15" s="0" t="s">
        <v>29</v>
      </c>
      <c r="F15" s="0" t="s">
        <v>28</v>
      </c>
      <c r="H15" s="0" t="s">
        <v>26</v>
      </c>
      <c r="I15" s="45" t="str">
        <f aca="false">B15&amp;"|"&amp;E15</f>
        <v>IW10|Roofing</v>
      </c>
      <c r="J15" s="45" t="str">
        <f aca="false">IF(H15="","",B15&amp;"|"&amp;H15)</f>
        <v>IW10|Framing</v>
      </c>
      <c r="K15" s="46" t="n">
        <v>4</v>
      </c>
      <c r="L15" s="47" t="n">
        <f aca="false">IF(H15="",C15,WORKDAY(INDEX($O$2:$O$2000,MATCH(J15,$I$2:$I$2000,0)),1))</f>
        <v>46213</v>
      </c>
      <c r="M15" s="47" t="str">
        <f aca="false">IF(G15="","",IFERROR(maxifs($O$2:O14,$G$2:G14,G15),""))</f>
        <v/>
      </c>
      <c r="N15" s="47" t="n">
        <f aca="false">IF(G15="",L15,MAX(L15,IF(M15="",L15,WORKDAY(M15,1))))</f>
        <v>46213</v>
      </c>
      <c r="O15" s="47" t="n">
        <f aca="false">WORKDAY(N15,K15-1)</f>
        <v>46218</v>
      </c>
      <c r="P15" s="45" t="n">
        <f aca="false">MAX(0,NETWORKDAYS(L15,N15)-1)</f>
        <v>0</v>
      </c>
      <c r="Q15" s="45" t="str">
        <f aca="false">IF(P15&gt;0,"BOTTLENECK DELAY","")</f>
        <v/>
      </c>
    </row>
    <row r="16" customFormat="false" ht="15" hidden="false" customHeight="false" outlineLevel="0" collapsed="false">
      <c r="A16" s="0" t="n">
        <v>15</v>
      </c>
      <c r="B16" s="0" t="s">
        <v>94</v>
      </c>
      <c r="C16" s="44" t="n">
        <f aca="false">INDEX(Projects!$B$2:$B$100,MATCH(B16,Projects!$A$2:$A$100,0))</f>
        <v>46113</v>
      </c>
      <c r="D16" s="0" t="n">
        <v>15</v>
      </c>
      <c r="E16" s="0" t="s">
        <v>23</v>
      </c>
      <c r="F16" s="0" t="s">
        <v>21</v>
      </c>
      <c r="H16" s="0" t="s">
        <v>29</v>
      </c>
      <c r="I16" s="45" t="str">
        <f aca="false">B16&amp;"|"&amp;E16</f>
        <v>IW10|Brick</v>
      </c>
      <c r="J16" s="45" t="str">
        <f aca="false">IF(H16="","",B16&amp;"|"&amp;H16)</f>
        <v>IW10|Roofing</v>
      </c>
      <c r="K16" s="46" t="n">
        <v>20</v>
      </c>
      <c r="L16" s="47" t="n">
        <f aca="false">IF(H16="",C16,WORKDAY(INDEX($O$2:$O$2000,MATCH(J16,$I$2:$I$2000,0)),1))</f>
        <v>46219</v>
      </c>
      <c r="M16" s="47" t="str">
        <f aca="false">IF(G16="","",IFERROR(maxifs($O$2:O15,$G$2:G15,G16),""))</f>
        <v/>
      </c>
      <c r="N16" s="47" t="n">
        <f aca="false">IF(G16="",L16,MAX(L16,IF(M16="",L16,WORKDAY(M16,1))))</f>
        <v>46219</v>
      </c>
      <c r="O16" s="47" t="n">
        <f aca="false">WORKDAY(N16,K16-1)</f>
        <v>46246</v>
      </c>
      <c r="P16" s="45" t="n">
        <f aca="false">MAX(0,NETWORKDAYS(L16,N16)-1)</f>
        <v>0</v>
      </c>
      <c r="Q16" s="45" t="str">
        <f aca="false">IF(P16&gt;0,"BOTTLENECK DELAY","")</f>
        <v/>
      </c>
    </row>
    <row r="17" customFormat="false" ht="15" hidden="false" customHeight="false" outlineLevel="0" collapsed="false">
      <c r="A17" s="0" t="n">
        <v>16</v>
      </c>
      <c r="B17" s="0" t="s">
        <v>94</v>
      </c>
      <c r="C17" s="44" t="n">
        <f aca="false">INDEX(Projects!$B$2:$B$100,MATCH(B17,Projects!$A$2:$A$100,0))</f>
        <v>46113</v>
      </c>
      <c r="D17" s="0" t="n">
        <v>16</v>
      </c>
      <c r="E17" s="0" t="s">
        <v>123</v>
      </c>
      <c r="F17" s="0" t="s">
        <v>21</v>
      </c>
      <c r="H17" s="0" t="s">
        <v>29</v>
      </c>
      <c r="I17" s="45" t="str">
        <f aca="false">B17&amp;"|"&amp;E17</f>
        <v>IW10|Stone</v>
      </c>
      <c r="J17" s="45" t="str">
        <f aca="false">IF(H17="","",B17&amp;"|"&amp;H17)</f>
        <v>IW10|Roofing</v>
      </c>
      <c r="K17" s="46" t="n">
        <v>20</v>
      </c>
      <c r="L17" s="47" t="n">
        <f aca="false">IF(H17="",C17,WORKDAY(INDEX($O$2:$O$2000,MATCH(J17,$I$2:$I$2000,0)),1))</f>
        <v>46219</v>
      </c>
      <c r="M17" s="47" t="str">
        <f aca="false">IF(G17="","",IFERROR(maxifs($O$2:O16,$G$2:G16,G17),""))</f>
        <v/>
      </c>
      <c r="N17" s="47" t="n">
        <f aca="false">IF(G17="",L17,MAX(L17,IF(M17="",L17,WORKDAY(M17,1))))</f>
        <v>46219</v>
      </c>
      <c r="O17" s="47" t="n">
        <f aca="false">WORKDAY(N17,K17-1)</f>
        <v>46246</v>
      </c>
      <c r="P17" s="45" t="n">
        <f aca="false">MAX(0,NETWORKDAYS(L17,N17)-1)</f>
        <v>0</v>
      </c>
      <c r="Q17" s="45" t="str">
        <f aca="false">IF(P17&gt;0,"BOTTLENECK DELAY","")</f>
        <v/>
      </c>
    </row>
    <row r="18" customFormat="false" ht="15" hidden="false" customHeight="false" outlineLevel="0" collapsed="false">
      <c r="A18" s="0" t="n">
        <v>17</v>
      </c>
      <c r="B18" s="0" t="s">
        <v>94</v>
      </c>
      <c r="C18" s="44" t="n">
        <f aca="false">INDEX(Projects!$B$2:$B$100,MATCH(B18,Projects!$A$2:$A$100,0))</f>
        <v>46113</v>
      </c>
      <c r="D18" s="0" t="n">
        <v>17</v>
      </c>
      <c r="E18" s="0" t="s">
        <v>27</v>
      </c>
      <c r="F18" s="0" t="s">
        <v>122</v>
      </c>
      <c r="H18" s="0" t="s">
        <v>29</v>
      </c>
      <c r="I18" s="45" t="str">
        <f aca="false">B18&amp;"|"&amp;E18</f>
        <v>IW10|Siding</v>
      </c>
      <c r="J18" s="45" t="str">
        <f aca="false">IF(H18="","",B18&amp;"|"&amp;H18)</f>
        <v>IW10|Roofing</v>
      </c>
      <c r="K18" s="46" t="n">
        <v>20</v>
      </c>
      <c r="L18" s="47" t="n">
        <f aca="false">IF(H18="",C18,WORKDAY(INDEX($O$2:$O$2000,MATCH(J18,$I$2:$I$2000,0)),1))</f>
        <v>46219</v>
      </c>
      <c r="M18" s="47" t="str">
        <f aca="false">IF(G18="","",IFERROR(maxifs($O$2:O17,$G$2:G17,G18),""))</f>
        <v/>
      </c>
      <c r="N18" s="47" t="n">
        <f aca="false">IF(G18="",L18,MAX(L18,IF(M18="",L18,WORKDAY(M18,1))))</f>
        <v>46219</v>
      </c>
      <c r="O18" s="47" t="n">
        <f aca="false">WORKDAY(N18,K18-1)</f>
        <v>46246</v>
      </c>
      <c r="P18" s="45" t="n">
        <f aca="false">MAX(0,NETWORKDAYS(L18,N18)-1)</f>
        <v>0</v>
      </c>
      <c r="Q18" s="45" t="str">
        <f aca="false">IF(P18&gt;0,"BOTTLENECK DELAY","")</f>
        <v/>
      </c>
    </row>
    <row r="19" customFormat="false" ht="15" hidden="false" customHeight="false" outlineLevel="0" collapsed="false">
      <c r="A19" s="0" t="n">
        <v>18</v>
      </c>
      <c r="B19" s="0" t="s">
        <v>94</v>
      </c>
      <c r="C19" s="44" t="n">
        <f aca="false">INDEX(Projects!$B$2:$B$100,MATCH(B19,Projects!$A$2:$A$100,0))</f>
        <v>46113</v>
      </c>
      <c r="D19" s="0" t="n">
        <v>18</v>
      </c>
      <c r="E19" s="0" t="s">
        <v>96</v>
      </c>
      <c r="H19" s="0" t="s">
        <v>23</v>
      </c>
      <c r="I19" s="45" t="str">
        <f aca="false">B19&amp;"|"&amp;E19</f>
        <v>IW10|Rough Grade</v>
      </c>
      <c r="J19" s="45" t="str">
        <f aca="false">IF(H19="","",B19&amp;"|"&amp;H19)</f>
        <v>IW10|Brick</v>
      </c>
      <c r="K19" s="46" t="n">
        <v>2</v>
      </c>
      <c r="L19" s="47" t="n">
        <f aca="false">IF(H19="",C19,WORKDAY(INDEX($O$2:$O$2000,MATCH(J19,$I$2:$I$2000,0)),1))</f>
        <v>46247</v>
      </c>
      <c r="M19" s="47" t="str">
        <f aca="false">IF(G19="","",IFERROR(maxifs($O$2:O18,$G$2:G18,G19),""))</f>
        <v/>
      </c>
      <c r="N19" s="47" t="n">
        <f aca="false">IF(G19="",L19,MAX(L19,IF(M19="",L19,WORKDAY(M19,1))))</f>
        <v>46247</v>
      </c>
      <c r="O19" s="47" t="n">
        <f aca="false">WORKDAY(N19,K19-1)</f>
        <v>46248</v>
      </c>
      <c r="P19" s="45" t="n">
        <f aca="false">MAX(0,NETWORKDAYS(L19,N19)-1)</f>
        <v>0</v>
      </c>
      <c r="Q19" s="45" t="str">
        <f aca="false">IF(P19&gt;0,"BOTTLENECK DELAY","")</f>
        <v/>
      </c>
    </row>
    <row r="20" customFormat="false" ht="15" hidden="false" customHeight="false" outlineLevel="0" collapsed="false">
      <c r="A20" s="0" t="n">
        <v>19</v>
      </c>
      <c r="B20" s="0" t="s">
        <v>94</v>
      </c>
      <c r="C20" s="44" t="n">
        <f aca="false">INDEX(Projects!$B$2:$B$100,MATCH(B20,Projects!$A$2:$A$100,0))</f>
        <v>46113</v>
      </c>
      <c r="D20" s="0" t="n">
        <v>19</v>
      </c>
      <c r="E20" s="0" t="s">
        <v>75</v>
      </c>
      <c r="F20" s="0" t="s">
        <v>124</v>
      </c>
      <c r="H20" s="0" t="s">
        <v>96</v>
      </c>
      <c r="I20" s="45" t="str">
        <f aca="false">B20&amp;"|"&amp;E20</f>
        <v>IW10|Irrigation</v>
      </c>
      <c r="J20" s="45" t="str">
        <f aca="false">IF(H20="","",B20&amp;"|"&amp;H20)</f>
        <v>IW10|Rough Grade</v>
      </c>
      <c r="K20" s="46" t="n">
        <v>2</v>
      </c>
      <c r="L20" s="47" t="n">
        <f aca="false">IF(H20="",C20,WORKDAY(INDEX($O$2:$O$2000,MATCH(J20,$I$2:$I$2000,0)),1))</f>
        <v>46251</v>
      </c>
      <c r="M20" s="47" t="str">
        <f aca="false">IF(G20="","",IFERROR(maxifs($O$2:O19,$G$2:G19,G20),""))</f>
        <v/>
      </c>
      <c r="N20" s="47" t="n">
        <f aca="false">IF(G20="",L20,MAX(L20,IF(M20="",L20,WORKDAY(M20,1))))</f>
        <v>46251</v>
      </c>
      <c r="O20" s="47" t="n">
        <f aca="false">WORKDAY(N20,K20-1)</f>
        <v>46252</v>
      </c>
      <c r="P20" s="45" t="n">
        <f aca="false">MAX(0,NETWORKDAYS(L20,N20)-1)</f>
        <v>0</v>
      </c>
      <c r="Q20" s="45" t="str">
        <f aca="false">IF(P20&gt;0,"BOTTLENECK DELAY","")</f>
        <v/>
      </c>
    </row>
    <row r="21" customFormat="false" ht="15" hidden="false" customHeight="false" outlineLevel="0" collapsed="false">
      <c r="A21" s="0" t="n">
        <v>20</v>
      </c>
      <c r="B21" s="0" t="s">
        <v>94</v>
      </c>
      <c r="C21" s="44" t="n">
        <f aca="false">INDEX(Projects!$B$2:$B$100,MATCH(B21,Projects!$A$2:$A$100,0))</f>
        <v>46113</v>
      </c>
      <c r="D21" s="0" t="n">
        <v>20</v>
      </c>
      <c r="E21" s="0" t="s">
        <v>71</v>
      </c>
      <c r="F21" s="0" t="s">
        <v>69</v>
      </c>
      <c r="H21" s="0" t="s">
        <v>75</v>
      </c>
      <c r="I21" s="45" t="str">
        <f aca="false">B21&amp;"|"&amp;E21</f>
        <v>IW10|Finish Grade</v>
      </c>
      <c r="J21" s="45" t="str">
        <f aca="false">IF(H21="","",B21&amp;"|"&amp;H21)</f>
        <v>IW10|Irrigation</v>
      </c>
      <c r="K21" s="46" t="n">
        <v>2</v>
      </c>
      <c r="L21" s="47" t="n">
        <f aca="false">IF(H21="",C21,WORKDAY(INDEX($O$2:$O$2000,MATCH(J21,$I$2:$I$2000,0)),1))</f>
        <v>46253</v>
      </c>
      <c r="M21" s="47" t="str">
        <f aca="false">IF(G21="","",IFERROR(maxifs($O$2:O20,$G$2:G20,G21),""))</f>
        <v/>
      </c>
      <c r="N21" s="47" t="n">
        <f aca="false">IF(G21="",L21,MAX(L21,IF(M21="",L21,WORKDAY(M21,1))))</f>
        <v>46253</v>
      </c>
      <c r="O21" s="47" t="n">
        <f aca="false">WORKDAY(N21,K21-1)</f>
        <v>46254</v>
      </c>
      <c r="P21" s="45" t="n">
        <f aca="false">MAX(0,NETWORKDAYS(L21,N21)-1)</f>
        <v>0</v>
      </c>
      <c r="Q21" s="45" t="str">
        <f aca="false">IF(P21&gt;0,"BOTTLENECK DELAY","")</f>
        <v/>
      </c>
    </row>
    <row r="22" customFormat="false" ht="15" hidden="false" customHeight="false" outlineLevel="0" collapsed="false">
      <c r="A22" s="0" t="n">
        <v>21</v>
      </c>
      <c r="B22" s="0" t="s">
        <v>94</v>
      </c>
      <c r="C22" s="44" t="n">
        <f aca="false">INDEX(Projects!$B$2:$B$100,MATCH(B22,Projects!$A$2:$A$100,0))</f>
        <v>46113</v>
      </c>
      <c r="D22" s="0" t="n">
        <v>21</v>
      </c>
      <c r="E22" s="0" t="s">
        <v>125</v>
      </c>
      <c r="F22" s="0" t="s">
        <v>69</v>
      </c>
      <c r="H22" s="0" t="s">
        <v>75</v>
      </c>
      <c r="I22" s="45" t="str">
        <f aca="false">B22&amp;"|"&amp;E22</f>
        <v>IW10|Landscaping</v>
      </c>
      <c r="J22" s="45" t="str">
        <f aca="false">IF(H22="","",B22&amp;"|"&amp;H22)</f>
        <v>IW10|Irrigation</v>
      </c>
      <c r="K22" s="46" t="n">
        <v>2</v>
      </c>
      <c r="L22" s="47" t="n">
        <f aca="false">IF(H22="",C22,WORKDAY(INDEX($O$2:$O$2000,MATCH(J22,$I$2:$I$2000,0)),1))</f>
        <v>46253</v>
      </c>
      <c r="M22" s="47" t="str">
        <f aca="false">IF(G22="","",IFERROR(maxifs($O$2:O21,$G$2:G21,G22),""))</f>
        <v/>
      </c>
      <c r="N22" s="47" t="n">
        <f aca="false">IF(G22="",L22,MAX(L22,IF(M22="",L22,WORKDAY(M22,1))))</f>
        <v>46253</v>
      </c>
      <c r="O22" s="47" t="n">
        <f aca="false">WORKDAY(N22,K22-1)</f>
        <v>46254</v>
      </c>
      <c r="P22" s="45" t="n">
        <f aca="false">MAX(0,NETWORKDAYS(L22,N22)-1)</f>
        <v>0</v>
      </c>
      <c r="Q22" s="45" t="str">
        <f aca="false">IF(P22&gt;0,"BOTTLENECK DELAY","")</f>
        <v/>
      </c>
    </row>
    <row r="23" customFormat="false" ht="15" hidden="false" customHeight="false" outlineLevel="0" collapsed="false">
      <c r="A23" s="0" t="n">
        <v>22</v>
      </c>
      <c r="B23" s="0" t="s">
        <v>94</v>
      </c>
      <c r="C23" s="44" t="n">
        <f aca="false">INDEX(Projects!$B$2:$B$100,MATCH(B23,Projects!$A$2:$A$100,0))</f>
        <v>46113</v>
      </c>
      <c r="D23" s="0" t="n">
        <v>22</v>
      </c>
      <c r="E23" s="0" t="s">
        <v>77</v>
      </c>
      <c r="F23" s="0" t="s">
        <v>76</v>
      </c>
      <c r="H23" s="0" t="s">
        <v>71</v>
      </c>
      <c r="I23" s="45" t="str">
        <f aca="false">B23&amp;"|"&amp;E23</f>
        <v>IW10|Lawn Seeding</v>
      </c>
      <c r="J23" s="45" t="str">
        <f aca="false">IF(H23="","",B23&amp;"|"&amp;H23)</f>
        <v>IW10|Finish Grade</v>
      </c>
      <c r="K23" s="46" t="n">
        <v>2</v>
      </c>
      <c r="L23" s="47" t="n">
        <f aca="false">IF(H23="",C23,WORKDAY(INDEX($O$2:$O$2000,MATCH(J23,$I$2:$I$2000,0)),1))</f>
        <v>46255</v>
      </c>
      <c r="M23" s="47" t="str">
        <f aca="false">IF(G23="","",IFERROR(maxifs($O$2:O22,$G$2:G22,G23),""))</f>
        <v/>
      </c>
      <c r="N23" s="47" t="n">
        <f aca="false">IF(G23="",L23,MAX(L23,IF(M23="",L23,WORKDAY(M23,1))))</f>
        <v>46255</v>
      </c>
      <c r="O23" s="47" t="n">
        <f aca="false">WORKDAY(N23,K23-1)</f>
        <v>46258</v>
      </c>
      <c r="P23" s="45" t="n">
        <f aca="false">MAX(0,NETWORKDAYS(L23,N23)-1)</f>
        <v>0</v>
      </c>
      <c r="Q23" s="45" t="str">
        <f aca="false">IF(P23&gt;0,"BOTTLENECK DELAY","")</f>
        <v/>
      </c>
    </row>
    <row r="24" customFormat="false" ht="15" hidden="false" customHeight="false" outlineLevel="0" collapsed="false">
      <c r="A24" s="0" t="n">
        <v>23</v>
      </c>
      <c r="B24" s="0" t="s">
        <v>94</v>
      </c>
      <c r="C24" s="44" t="n">
        <f aca="false">INDEX(Projects!$B$2:$B$100,MATCH(B24,Projects!$A$2:$A$100,0))</f>
        <v>46113</v>
      </c>
      <c r="D24" s="0" t="n">
        <v>23</v>
      </c>
      <c r="E24" s="0" t="s">
        <v>97</v>
      </c>
      <c r="H24" s="0" t="s">
        <v>96</v>
      </c>
      <c r="I24" s="45" t="str">
        <f aca="false">B24&amp;"|"&amp;E24</f>
        <v>IW10|Gutter drains</v>
      </c>
      <c r="J24" s="45" t="str">
        <f aca="false">IF(H24="","",B24&amp;"|"&amp;H24)</f>
        <v>IW10|Rough Grade</v>
      </c>
      <c r="K24" s="46" t="n">
        <v>2</v>
      </c>
      <c r="L24" s="47" t="n">
        <f aca="false">IF(H24="",C24,WORKDAY(INDEX($O$2:$O$2000,MATCH(J24,$I$2:$I$2000,0)),1))</f>
        <v>46251</v>
      </c>
      <c r="M24" s="47" t="str">
        <f aca="false">IF(G24="","",IFERROR(maxifs($O$2:O23,$G$2:G23,G24),""))</f>
        <v/>
      </c>
      <c r="N24" s="47" t="n">
        <f aca="false">IF(G24="",L24,MAX(L24,IF(M24="",L24,WORKDAY(M24,1))))</f>
        <v>46251</v>
      </c>
      <c r="O24" s="47" t="n">
        <f aca="false">WORKDAY(N24,K24-1)</f>
        <v>46252</v>
      </c>
      <c r="P24" s="45" t="n">
        <f aca="false">MAX(0,NETWORKDAYS(L24,N24)-1)</f>
        <v>0</v>
      </c>
      <c r="Q24" s="45" t="str">
        <f aca="false">IF(P24&gt;0,"BOTTLENECK DELAY","")</f>
        <v/>
      </c>
    </row>
    <row r="25" customFormat="false" ht="15" hidden="false" customHeight="false" outlineLevel="0" collapsed="false">
      <c r="A25" s="0" t="n">
        <v>24</v>
      </c>
      <c r="B25" s="0" t="s">
        <v>94</v>
      </c>
      <c r="C25" s="44" t="n">
        <f aca="false">INDEX(Projects!$B$2:$B$100,MATCH(B25,Projects!$A$2:$A$100,0))</f>
        <v>46113</v>
      </c>
      <c r="D25" s="0" t="n">
        <v>24</v>
      </c>
      <c r="E25" s="0" t="s">
        <v>37</v>
      </c>
      <c r="F25" s="0" t="s">
        <v>35</v>
      </c>
      <c r="H25" s="0" t="s">
        <v>26</v>
      </c>
      <c r="I25" s="45" t="str">
        <f aca="false">B25&amp;"|"&amp;E25</f>
        <v>IW10|HVAC Rough</v>
      </c>
      <c r="J25" s="45" t="str">
        <f aca="false">IF(H25="","",B25&amp;"|"&amp;H25)</f>
        <v>IW10|Framing</v>
      </c>
      <c r="K25" s="46" t="n">
        <v>5</v>
      </c>
      <c r="L25" s="47" t="n">
        <f aca="false">IF(H25="",C25,WORKDAY(INDEX($O$2:$O$2000,MATCH(J25,$I$2:$I$2000,0)),1))</f>
        <v>46213</v>
      </c>
      <c r="M25" s="47" t="str">
        <f aca="false">IF(G25="","",IFERROR(maxifs($O$2:O24,$G$2:G24,G25),""))</f>
        <v/>
      </c>
      <c r="N25" s="47" t="n">
        <f aca="false">IF(G25="",L25,MAX(L25,IF(M25="",L25,WORKDAY(M25,1))))</f>
        <v>46213</v>
      </c>
      <c r="O25" s="47" t="n">
        <f aca="false">WORKDAY(N25,K25-1)</f>
        <v>46219</v>
      </c>
      <c r="P25" s="45" t="n">
        <f aca="false">MAX(0,NETWORKDAYS(L25,N25)-1)</f>
        <v>0</v>
      </c>
      <c r="Q25" s="45" t="str">
        <f aca="false">IF(P25&gt;0,"BOTTLENECK DELAY","")</f>
        <v/>
      </c>
    </row>
    <row r="26" customFormat="false" ht="15" hidden="false" customHeight="false" outlineLevel="0" collapsed="false">
      <c r="A26" s="0" t="n">
        <v>25</v>
      </c>
      <c r="B26" s="0" t="s">
        <v>94</v>
      </c>
      <c r="C26" s="44" t="n">
        <f aca="false">INDEX(Projects!$B$2:$B$100,MATCH(B26,Projects!$A$2:$A$100,0))</f>
        <v>46113</v>
      </c>
      <c r="D26" s="0" t="n">
        <v>25</v>
      </c>
      <c r="E26" s="0" t="s">
        <v>41</v>
      </c>
      <c r="F26" s="0" t="s">
        <v>39</v>
      </c>
      <c r="G26" s="0" t="s">
        <v>39</v>
      </c>
      <c r="H26" s="0" t="s">
        <v>26</v>
      </c>
      <c r="I26" s="45" t="str">
        <f aca="false">B26&amp;"|"&amp;E26</f>
        <v>IW10|Plumbing Rough</v>
      </c>
      <c r="J26" s="45" t="str">
        <f aca="false">IF(H26="","",B26&amp;"|"&amp;H26)</f>
        <v>IW10|Framing</v>
      </c>
      <c r="K26" s="46" t="n">
        <v>5</v>
      </c>
      <c r="L26" s="47" t="n">
        <f aca="false">IF(H26="",C26,WORKDAY(INDEX($O$2:$O$2000,MATCH(J26,$I$2:$I$2000,0)),1))</f>
        <v>46213</v>
      </c>
      <c r="M26" s="47" t="str">
        <f aca="false">IF(G26="","",IFERROR(maxifs($O$2:O25,$G$2:G25,G26),""))</f>
        <v/>
      </c>
      <c r="N26" s="47" t="n">
        <f aca="false">IF(G26="",L26,MAX(L26,IF(M26="",L26,WORKDAY(M26,1))))</f>
        <v>46213</v>
      </c>
      <c r="O26" s="47" t="n">
        <f aca="false">WORKDAY(N26,K26-1)</f>
        <v>46219</v>
      </c>
      <c r="P26" s="45" t="n">
        <f aca="false">MAX(0,NETWORKDAYS(L26,N26)-1)</f>
        <v>0</v>
      </c>
      <c r="Q26" s="45" t="str">
        <f aca="false">IF(P26&gt;0,"BOTTLENECK DELAY","")</f>
        <v/>
      </c>
    </row>
    <row r="27" customFormat="false" ht="15" hidden="false" customHeight="false" outlineLevel="0" collapsed="false">
      <c r="A27" s="0" t="n">
        <v>26</v>
      </c>
      <c r="B27" s="0" t="s">
        <v>94</v>
      </c>
      <c r="C27" s="44" t="n">
        <f aca="false">INDEX(Projects!$B$2:$B$100,MATCH(B27,Projects!$A$2:$A$100,0))</f>
        <v>46113</v>
      </c>
      <c r="D27" s="0" t="n">
        <v>26</v>
      </c>
      <c r="E27" s="0" t="s">
        <v>32</v>
      </c>
      <c r="F27" s="0" t="s">
        <v>30</v>
      </c>
      <c r="H27" s="0" t="s">
        <v>26</v>
      </c>
      <c r="I27" s="45" t="str">
        <f aca="false">B27&amp;"|"&amp;E27</f>
        <v>IW10|Electrical Rough</v>
      </c>
      <c r="J27" s="45" t="str">
        <f aca="false">IF(H27="","",B27&amp;"|"&amp;H27)</f>
        <v>IW10|Framing</v>
      </c>
      <c r="K27" s="46" t="n">
        <v>10</v>
      </c>
      <c r="L27" s="47" t="n">
        <f aca="false">IF(H27="",C27,WORKDAY(INDEX($O$2:$O$2000,MATCH(J27,$I$2:$I$2000,0)),1))</f>
        <v>46213</v>
      </c>
      <c r="M27" s="47" t="str">
        <f aca="false">IF(G27="","",IFERROR(maxifs($O$2:O26,$G$2:G26,G27),""))</f>
        <v/>
      </c>
      <c r="N27" s="47" t="n">
        <f aca="false">IF(G27="",L27,MAX(L27,IF(M27="",L27,WORKDAY(M27,1))))</f>
        <v>46213</v>
      </c>
      <c r="O27" s="47" t="n">
        <f aca="false">WORKDAY(N27,K27-1)</f>
        <v>46226</v>
      </c>
      <c r="P27" s="45" t="n">
        <f aca="false">MAX(0,NETWORKDAYS(L27,N27)-1)</f>
        <v>0</v>
      </c>
      <c r="Q27" s="45" t="str">
        <f aca="false">IF(P27&gt;0,"BOTTLENECK DELAY","")</f>
        <v/>
      </c>
    </row>
    <row r="28" customFormat="false" ht="15" hidden="false" customHeight="false" outlineLevel="0" collapsed="false">
      <c r="A28" s="0" t="n">
        <v>27</v>
      </c>
      <c r="B28" s="0" t="s">
        <v>94</v>
      </c>
      <c r="C28" s="44" t="n">
        <f aca="false">INDEX(Projects!$B$2:$B$100,MATCH(B28,Projects!$A$2:$A$100,0))</f>
        <v>46113</v>
      </c>
      <c r="D28" s="0" t="n">
        <v>27</v>
      </c>
      <c r="E28" s="0" t="s">
        <v>48</v>
      </c>
      <c r="F28" s="0" t="s">
        <v>46</v>
      </c>
      <c r="H28" s="0" t="s">
        <v>32</v>
      </c>
      <c r="I28" s="45" t="str">
        <f aca="false">B28&amp;"|"&amp;E28</f>
        <v>IW10|Insulation Walls</v>
      </c>
      <c r="J28" s="45" t="str">
        <f aca="false">IF(H28="","",B28&amp;"|"&amp;H28)</f>
        <v>IW10|Electrical Rough</v>
      </c>
      <c r="K28" s="46" t="n">
        <v>2</v>
      </c>
      <c r="L28" s="47" t="n">
        <f aca="false">IF(H28="",C28,WORKDAY(INDEX($O$2:$O$2000,MATCH(J28,$I$2:$I$2000,0)),1))</f>
        <v>46227</v>
      </c>
      <c r="M28" s="47" t="str">
        <f aca="false">IF(G28="","",IFERROR(maxifs($O$2:O27,$G$2:G27,G28),""))</f>
        <v/>
      </c>
      <c r="N28" s="47" t="n">
        <f aca="false">IF(G28="",L28,MAX(L28,IF(M28="",L28,WORKDAY(M28,1))))</f>
        <v>46227</v>
      </c>
      <c r="O28" s="47" t="n">
        <f aca="false">WORKDAY(N28,K28-1)</f>
        <v>46230</v>
      </c>
      <c r="P28" s="45" t="n">
        <f aca="false">MAX(0,NETWORKDAYS(L28,N28)-1)</f>
        <v>0</v>
      </c>
      <c r="Q28" s="45" t="str">
        <f aca="false">IF(P28&gt;0,"BOTTLENECK DELAY","")</f>
        <v/>
      </c>
    </row>
    <row r="29" customFormat="false" ht="15" hidden="false" customHeight="false" outlineLevel="0" collapsed="false">
      <c r="A29" s="0" t="n">
        <v>28</v>
      </c>
      <c r="B29" s="0" t="s">
        <v>94</v>
      </c>
      <c r="C29" s="44" t="n">
        <f aca="false">INDEX(Projects!$B$2:$B$100,MATCH(B29,Projects!$A$2:$A$100,0))</f>
        <v>46113</v>
      </c>
      <c r="D29" s="0" t="n">
        <v>28</v>
      </c>
      <c r="E29" s="0" t="s">
        <v>51</v>
      </c>
      <c r="F29" s="0" t="s">
        <v>50</v>
      </c>
      <c r="H29" s="0" t="s">
        <v>48</v>
      </c>
      <c r="I29" s="45" t="str">
        <f aca="false">B29&amp;"|"&amp;E29</f>
        <v>IW10|Sheetrock</v>
      </c>
      <c r="J29" s="45" t="str">
        <f aca="false">IF(H29="","",B29&amp;"|"&amp;H29)</f>
        <v>IW10|Insulation Walls</v>
      </c>
      <c r="K29" s="46" t="n">
        <v>15</v>
      </c>
      <c r="L29" s="47" t="n">
        <f aca="false">IF(H29="",C29,WORKDAY(INDEX($O$2:$O$2000,MATCH(J29,$I$2:$I$2000,0)),1))</f>
        <v>46231</v>
      </c>
      <c r="M29" s="47" t="str">
        <f aca="false">IF(G29="","",IFERROR(maxifs($O$2:O28,$G$2:G28,G29),""))</f>
        <v/>
      </c>
      <c r="N29" s="47" t="n">
        <f aca="false">IF(G29="",L29,MAX(L29,IF(M29="",L29,WORKDAY(M29,1))))</f>
        <v>46231</v>
      </c>
      <c r="O29" s="47" t="n">
        <f aca="false">WORKDAY(N29,K29-1)</f>
        <v>46251</v>
      </c>
      <c r="P29" s="45" t="n">
        <f aca="false">MAX(0,NETWORKDAYS(L29,N29)-1)</f>
        <v>0</v>
      </c>
      <c r="Q29" s="45" t="str">
        <f aca="false">IF(P29&gt;0,"BOTTLENECK DELAY","")</f>
        <v/>
      </c>
    </row>
    <row r="30" customFormat="false" ht="15" hidden="false" customHeight="false" outlineLevel="0" collapsed="false">
      <c r="A30" s="0" t="n">
        <v>29</v>
      </c>
      <c r="B30" s="0" t="s">
        <v>94</v>
      </c>
      <c r="C30" s="44" t="n">
        <f aca="false">INDEX(Projects!$B$2:$B$100,MATCH(B30,Projects!$A$2:$A$100,0))</f>
        <v>46113</v>
      </c>
      <c r="D30" s="0" t="n">
        <v>29</v>
      </c>
      <c r="E30" s="0" t="s">
        <v>60</v>
      </c>
      <c r="F30" s="0" t="s">
        <v>59</v>
      </c>
      <c r="H30" s="0" t="s">
        <v>51</v>
      </c>
      <c r="I30" s="45" t="str">
        <f aca="false">B30&amp;"|"&amp;E30</f>
        <v>IW10|Painting Primer</v>
      </c>
      <c r="J30" s="45" t="str">
        <f aca="false">IF(H30="","",B30&amp;"|"&amp;H30)</f>
        <v>IW10|Sheetrock</v>
      </c>
      <c r="K30" s="46" t="n">
        <v>3</v>
      </c>
      <c r="L30" s="47" t="n">
        <f aca="false">IF(H30="",C30,WORKDAY(INDEX($O$2:$O$2000,MATCH(J30,$I$2:$I$2000,0)),1))</f>
        <v>46252</v>
      </c>
      <c r="M30" s="47" t="str">
        <f aca="false">IF(G30="","",IFERROR(maxifs($O$2:O29,$G$2:G29,G30),""))</f>
        <v/>
      </c>
      <c r="N30" s="47" t="n">
        <f aca="false">IF(G30="",L30,MAX(L30,IF(M30="",L30,WORKDAY(M30,1))))</f>
        <v>46252</v>
      </c>
      <c r="O30" s="47" t="n">
        <f aca="false">WORKDAY(N30,K30-1)</f>
        <v>46254</v>
      </c>
      <c r="P30" s="45" t="n">
        <f aca="false">MAX(0,NETWORKDAYS(L30,N30)-1)</f>
        <v>0</v>
      </c>
      <c r="Q30" s="45" t="str">
        <f aca="false">IF(P30&gt;0,"BOTTLENECK DELAY","")</f>
        <v/>
      </c>
    </row>
    <row r="31" customFormat="false" ht="15" hidden="false" customHeight="false" outlineLevel="0" collapsed="false">
      <c r="A31" s="0" t="n">
        <v>30</v>
      </c>
      <c r="B31" s="0" t="s">
        <v>94</v>
      </c>
      <c r="C31" s="44" t="n">
        <f aca="false">INDEX(Projects!$B$2:$B$100,MATCH(B31,Projects!$A$2:$A$100,0))</f>
        <v>46113</v>
      </c>
      <c r="D31" s="0" t="n">
        <v>30</v>
      </c>
      <c r="E31" s="0" t="s">
        <v>53</v>
      </c>
      <c r="F31" s="0" t="s">
        <v>52</v>
      </c>
      <c r="H31" s="0" t="s">
        <v>60</v>
      </c>
      <c r="I31" s="45" t="str">
        <f aca="false">B31&amp;"|"&amp;E31</f>
        <v>IW10|Garage Doors</v>
      </c>
      <c r="J31" s="45" t="str">
        <f aca="false">IF(H31="","",B31&amp;"|"&amp;H31)</f>
        <v>IW10|Painting Primer</v>
      </c>
      <c r="K31" s="46" t="n">
        <v>2</v>
      </c>
      <c r="L31" s="47" t="n">
        <f aca="false">IF(H31="",C31,WORKDAY(INDEX($O$2:$O$2000,MATCH(J31,$I$2:$I$2000,0)),1))</f>
        <v>46255</v>
      </c>
      <c r="M31" s="47" t="str">
        <f aca="false">IF(G31="","",IFERROR(maxifs($O$2:O30,$G$2:G30,G31),""))</f>
        <v/>
      </c>
      <c r="N31" s="47" t="n">
        <f aca="false">IF(G31="",L31,MAX(L31,IF(M31="",L31,WORKDAY(M31,1))))</f>
        <v>46255</v>
      </c>
      <c r="O31" s="47" t="n">
        <f aca="false">WORKDAY(N31,K31-1)</f>
        <v>46258</v>
      </c>
      <c r="P31" s="45" t="n">
        <f aca="false">MAX(0,NETWORKDAYS(L31,N31)-1)</f>
        <v>0</v>
      </c>
      <c r="Q31" s="45" t="str">
        <f aca="false">IF(P31&gt;0,"BOTTLENECK DELAY","")</f>
        <v/>
      </c>
    </row>
    <row r="32" customFormat="false" ht="15" hidden="false" customHeight="false" outlineLevel="0" collapsed="false">
      <c r="A32" s="0" t="n">
        <v>31</v>
      </c>
      <c r="B32" s="0" t="s">
        <v>94</v>
      </c>
      <c r="C32" s="44" t="n">
        <f aca="false">INDEX(Projects!$B$2:$B$100,MATCH(B32,Projects!$A$2:$A$100,0))</f>
        <v>46113</v>
      </c>
      <c r="D32" s="0" t="n">
        <v>31</v>
      </c>
      <c r="E32" s="0" t="s">
        <v>44</v>
      </c>
      <c r="F32" s="0" t="s">
        <v>43</v>
      </c>
      <c r="H32" s="0" t="s">
        <v>60</v>
      </c>
      <c r="I32" s="45" t="str">
        <f aca="false">B32&amp;"|"&amp;E32</f>
        <v>IW10|Flooring</v>
      </c>
      <c r="J32" s="45" t="str">
        <f aca="false">IF(H32="","",B32&amp;"|"&amp;H32)</f>
        <v>IW10|Painting Primer</v>
      </c>
      <c r="K32" s="46" t="n">
        <v>5</v>
      </c>
      <c r="L32" s="47" t="n">
        <f aca="false">IF(H32="",C32,WORKDAY(INDEX($O$2:$O$2000,MATCH(J32,$I$2:$I$2000,0)),1))</f>
        <v>46255</v>
      </c>
      <c r="M32" s="47" t="str">
        <f aca="false">IF(G32="","",IFERROR(maxifs($O$2:O31,$G$2:G31,G32),""))</f>
        <v/>
      </c>
      <c r="N32" s="47" t="n">
        <f aca="false">IF(G32="",L32,MAX(L32,IF(M32="",L32,WORKDAY(M32,1))))</f>
        <v>46255</v>
      </c>
      <c r="O32" s="47" t="n">
        <f aca="false">WORKDAY(N32,K32-1)</f>
        <v>46261</v>
      </c>
      <c r="P32" s="45" t="n">
        <f aca="false">MAX(0,NETWORKDAYS(L32,N32)-1)</f>
        <v>0</v>
      </c>
      <c r="Q32" s="45" t="str">
        <f aca="false">IF(P32&gt;0,"BOTTLENECK DELAY","")</f>
        <v/>
      </c>
    </row>
    <row r="33" customFormat="false" ht="15" hidden="false" customHeight="false" outlineLevel="0" collapsed="false">
      <c r="A33" s="0" t="n">
        <v>32</v>
      </c>
      <c r="B33" s="0" t="s">
        <v>94</v>
      </c>
      <c r="C33" s="44" t="n">
        <f aca="false">INDEX(Projects!$B$2:$B$100,MATCH(B33,Projects!$A$2:$A$100,0))</f>
        <v>46113</v>
      </c>
      <c r="D33" s="0" t="n">
        <v>32</v>
      </c>
      <c r="E33" s="0" t="s">
        <v>45</v>
      </c>
      <c r="F33" s="0" t="s">
        <v>43</v>
      </c>
      <c r="H33" s="0" t="s">
        <v>60</v>
      </c>
      <c r="I33" s="45" t="str">
        <f aca="false">B33&amp;"|"&amp;E33</f>
        <v>IW10|Tile Work</v>
      </c>
      <c r="J33" s="45" t="str">
        <f aca="false">IF(H33="","",B33&amp;"|"&amp;H33)</f>
        <v>IW10|Painting Primer</v>
      </c>
      <c r="K33" s="46" t="n">
        <v>8</v>
      </c>
      <c r="L33" s="47" t="n">
        <f aca="false">IF(H33="",C33,WORKDAY(INDEX($O$2:$O$2000,MATCH(J33,$I$2:$I$2000,0)),1))</f>
        <v>46255</v>
      </c>
      <c r="M33" s="47" t="str">
        <f aca="false">IF(G33="","",IFERROR(maxifs($O$2:O32,$G$2:G32,G33),""))</f>
        <v/>
      </c>
      <c r="N33" s="47" t="n">
        <f aca="false">IF(G33="",L33,MAX(L33,IF(M33="",L33,WORKDAY(M33,1))))</f>
        <v>46255</v>
      </c>
      <c r="O33" s="47" t="n">
        <f aca="false">WORKDAY(N33,K33-1)</f>
        <v>46266</v>
      </c>
      <c r="P33" s="45" t="n">
        <f aca="false">MAX(0,NETWORKDAYS(L33,N33)-1)</f>
        <v>0</v>
      </c>
      <c r="Q33" s="45" t="str">
        <f aca="false">IF(P33&gt;0,"BOTTLENECK DELAY","")</f>
        <v/>
      </c>
    </row>
    <row r="34" customFormat="false" ht="15" hidden="false" customHeight="false" outlineLevel="0" collapsed="false">
      <c r="A34" s="0" t="n">
        <v>33</v>
      </c>
      <c r="B34" s="0" t="s">
        <v>94</v>
      </c>
      <c r="C34" s="44" t="n">
        <f aca="false">INDEX(Projects!$B$2:$B$100,MATCH(B34,Projects!$A$2:$A$100,0))</f>
        <v>46113</v>
      </c>
      <c r="D34" s="0" t="n">
        <v>33</v>
      </c>
      <c r="E34" s="0" t="s">
        <v>126</v>
      </c>
      <c r="F34" s="0" t="s">
        <v>56</v>
      </c>
      <c r="G34" s="0" t="s">
        <v>56</v>
      </c>
      <c r="H34" s="0" t="s">
        <v>44</v>
      </c>
      <c r="I34" s="45" t="str">
        <f aca="false">B34&amp;"|"&amp;E34</f>
        <v>IW10|Trim Interior</v>
      </c>
      <c r="J34" s="45" t="str">
        <f aca="false">IF(H34="","",B34&amp;"|"&amp;H34)</f>
        <v>IW10|Flooring</v>
      </c>
      <c r="K34" s="46" t="n">
        <v>20</v>
      </c>
      <c r="L34" s="47" t="n">
        <f aca="false">IF(H34="",C34,WORKDAY(INDEX($O$2:$O$2000,MATCH(J34,$I$2:$I$2000,0)),1))</f>
        <v>46262</v>
      </c>
      <c r="M34" s="47" t="str">
        <f aca="false">IF(G34="","",IFERROR(maxifs($O$2:O33,$G$2:G33,G34),""))</f>
        <v/>
      </c>
      <c r="N34" s="47" t="n">
        <f aca="false">IF(G34="",L34,MAX(L34,IF(M34="",L34,WORKDAY(M34,1))))</f>
        <v>46262</v>
      </c>
      <c r="O34" s="47" t="n">
        <f aca="false">WORKDAY(N34,K34-1)</f>
        <v>46289</v>
      </c>
      <c r="P34" s="45" t="n">
        <f aca="false">MAX(0,NETWORKDAYS(L34,N34)-1)</f>
        <v>0</v>
      </c>
      <c r="Q34" s="45" t="str">
        <f aca="false">IF(P34&gt;0,"BOTTLENECK DELAY","")</f>
        <v/>
      </c>
    </row>
    <row r="35" customFormat="false" ht="15" hidden="false" customHeight="false" outlineLevel="0" collapsed="false">
      <c r="A35" s="0" t="n">
        <v>34</v>
      </c>
      <c r="B35" s="0" t="s">
        <v>94</v>
      </c>
      <c r="C35" s="44" t="n">
        <f aca="false">INDEX(Projects!$B$2:$B$100,MATCH(B35,Projects!$A$2:$A$100,0))</f>
        <v>46113</v>
      </c>
      <c r="D35" s="0" t="n">
        <v>34</v>
      </c>
      <c r="E35" s="0" t="s">
        <v>58</v>
      </c>
      <c r="F35" s="0" t="s">
        <v>56</v>
      </c>
      <c r="G35" s="0" t="s">
        <v>56</v>
      </c>
      <c r="H35" s="0" t="s">
        <v>27</v>
      </c>
      <c r="I35" s="45" t="str">
        <f aca="false">B35&amp;"|"&amp;E35</f>
        <v>IW10|Trim Exterior</v>
      </c>
      <c r="J35" s="45" t="str">
        <f aca="false">IF(H35="","",B35&amp;"|"&amp;H35)</f>
        <v>IW10|Siding</v>
      </c>
      <c r="K35" s="46" t="n">
        <v>2</v>
      </c>
      <c r="L35" s="47" t="n">
        <f aca="false">IF(H35="",C35,WORKDAY(INDEX($O$2:$O$2000,MATCH(J35,$I$2:$I$2000,0)),1))</f>
        <v>46247</v>
      </c>
      <c r="M35" s="47" t="str">
        <f aca="false">IF(G35="","",IFERROR(maxifs($O$2:O34,$G$2:G34,G35),""))</f>
        <v/>
      </c>
      <c r="N35" s="47" t="n">
        <f aca="false">IF(G35="",L35,MAX(L35,IF(M35="",L35,WORKDAY(M35,1))))</f>
        <v>46247</v>
      </c>
      <c r="O35" s="47" t="n">
        <f aca="false">WORKDAY(N35,K35-1)</f>
        <v>46248</v>
      </c>
      <c r="P35" s="45" t="n">
        <f aca="false">MAX(0,NETWORKDAYS(L35,N35)-1)</f>
        <v>0</v>
      </c>
      <c r="Q35" s="45" t="str">
        <f aca="false">IF(P35&gt;0,"BOTTLENECK DELAY","")</f>
        <v/>
      </c>
    </row>
    <row r="36" customFormat="false" ht="15" hidden="false" customHeight="false" outlineLevel="0" collapsed="false">
      <c r="A36" s="0" t="n">
        <v>35</v>
      </c>
      <c r="B36" s="0" t="s">
        <v>94</v>
      </c>
      <c r="C36" s="44" t="n">
        <f aca="false">INDEX(Projects!$B$2:$B$100,MATCH(B36,Projects!$A$2:$A$100,0))</f>
        <v>46113</v>
      </c>
      <c r="D36" s="0" t="n">
        <v>35</v>
      </c>
      <c r="E36" s="0" t="s">
        <v>64</v>
      </c>
      <c r="F36" s="0" t="s">
        <v>63</v>
      </c>
      <c r="H36" s="0" t="s">
        <v>44</v>
      </c>
      <c r="I36" s="45" t="str">
        <f aca="false">B36&amp;"|"&amp;E36</f>
        <v>IW10|Cabinets</v>
      </c>
      <c r="J36" s="45" t="str">
        <f aca="false">IF(H36="","",B36&amp;"|"&amp;H36)</f>
        <v>IW10|Flooring</v>
      </c>
      <c r="K36" s="46" t="n">
        <v>3</v>
      </c>
      <c r="L36" s="47" t="n">
        <f aca="false">IF(H36="",C36,WORKDAY(INDEX($O$2:$O$2000,MATCH(J36,$I$2:$I$2000,0)),1))</f>
        <v>46262</v>
      </c>
      <c r="M36" s="47" t="str">
        <f aca="false">IF(G36="","",IFERROR(maxifs($O$2:O35,$G$2:G35,G36),""))</f>
        <v/>
      </c>
      <c r="N36" s="47" t="n">
        <f aca="false">IF(G36="",L36,MAX(L36,IF(M36="",L36,WORKDAY(M36,1))))</f>
        <v>46262</v>
      </c>
      <c r="O36" s="47" t="n">
        <f aca="false">WORKDAY(N36,K36-1)</f>
        <v>46266</v>
      </c>
      <c r="P36" s="45" t="n">
        <f aca="false">MAX(0,NETWORKDAYS(L36,N36)-1)</f>
        <v>0</v>
      </c>
      <c r="Q36" s="45" t="str">
        <f aca="false">IF(P36&gt;0,"BOTTLENECK DELAY","")</f>
        <v/>
      </c>
    </row>
    <row r="37" customFormat="false" ht="15" hidden="false" customHeight="false" outlineLevel="0" collapsed="false">
      <c r="A37" s="0" t="n">
        <v>36</v>
      </c>
      <c r="B37" s="0" t="s">
        <v>94</v>
      </c>
      <c r="C37" s="44" t="n">
        <f aca="false">INDEX(Projects!$B$2:$B$100,MATCH(B37,Projects!$A$2:$A$100,0))</f>
        <v>46113</v>
      </c>
      <c r="D37" s="0" t="n">
        <v>36</v>
      </c>
      <c r="E37" s="0" t="s">
        <v>66</v>
      </c>
      <c r="F37" s="0" t="s">
        <v>65</v>
      </c>
      <c r="H37" s="0" t="s">
        <v>64</v>
      </c>
      <c r="I37" s="45" t="str">
        <f aca="false">B37&amp;"|"&amp;E37</f>
        <v>IW10|Countertops</v>
      </c>
      <c r="J37" s="45" t="str">
        <f aca="false">IF(H37="","",B37&amp;"|"&amp;H37)</f>
        <v>IW10|Cabinets</v>
      </c>
      <c r="K37" s="46" t="n">
        <v>2</v>
      </c>
      <c r="L37" s="47" t="n">
        <f aca="false">IF(H37="",C37,WORKDAY(INDEX($O$2:$O$2000,MATCH(J37,$I$2:$I$2000,0)),1))</f>
        <v>46267</v>
      </c>
      <c r="M37" s="47" t="str">
        <f aca="false">IF(G37="","",IFERROR(maxifs($O$2:O36,$G$2:G36,G37),""))</f>
        <v/>
      </c>
      <c r="N37" s="47" t="n">
        <f aca="false">IF(G37="",L37,MAX(L37,IF(M37="",L37,WORKDAY(M37,1))))</f>
        <v>46267</v>
      </c>
      <c r="O37" s="47" t="n">
        <f aca="false">WORKDAY(N37,K37-1)</f>
        <v>46268</v>
      </c>
      <c r="P37" s="45" t="n">
        <f aca="false">MAX(0,NETWORKDAYS(L37,N37)-1)</f>
        <v>0</v>
      </c>
      <c r="Q37" s="45" t="str">
        <f aca="false">IF(P37&gt;0,"BOTTLENECK DELAY","")</f>
        <v/>
      </c>
    </row>
    <row r="38" customFormat="false" ht="15" hidden="false" customHeight="false" outlineLevel="0" collapsed="false">
      <c r="A38" s="0" t="n">
        <v>37</v>
      </c>
      <c r="B38" s="0" t="s">
        <v>94</v>
      </c>
      <c r="C38" s="44" t="n">
        <f aca="false">INDEX(Projects!$B$2:$B$100,MATCH(B38,Projects!$A$2:$A$100,0))</f>
        <v>46113</v>
      </c>
      <c r="D38" s="0" t="n">
        <v>37</v>
      </c>
      <c r="E38" s="0" t="s">
        <v>61</v>
      </c>
      <c r="F38" s="0" t="s">
        <v>59</v>
      </c>
      <c r="H38" s="0" t="s">
        <v>66</v>
      </c>
      <c r="I38" s="45" t="str">
        <f aca="false">B38&amp;"|"&amp;E38</f>
        <v>IW10|Painting Main</v>
      </c>
      <c r="J38" s="45" t="str">
        <f aca="false">IF(H38="","",B38&amp;"|"&amp;H38)</f>
        <v>IW10|Countertops</v>
      </c>
      <c r="K38" s="46" t="n">
        <v>10</v>
      </c>
      <c r="L38" s="47" t="n">
        <f aca="false">IF(H38="",C38,WORKDAY(INDEX($O$2:$O$2000,MATCH(J38,$I$2:$I$2000,0)),1))</f>
        <v>46269</v>
      </c>
      <c r="M38" s="47" t="str">
        <f aca="false">IF(G38="","",IFERROR(maxifs($O$2:O37,$G$2:G37,G38),""))</f>
        <v/>
      </c>
      <c r="N38" s="47" t="n">
        <f aca="false">IF(G38="",L38,MAX(L38,IF(M38="",L38,WORKDAY(M38,1))))</f>
        <v>46269</v>
      </c>
      <c r="O38" s="47" t="n">
        <f aca="false">WORKDAY(N38,K38-1)</f>
        <v>46282</v>
      </c>
      <c r="P38" s="45" t="n">
        <f aca="false">MAX(0,NETWORKDAYS(L38,N38)-1)</f>
        <v>0</v>
      </c>
      <c r="Q38" s="45" t="str">
        <f aca="false">IF(P38&gt;0,"BOTTLENECK DELAY","")</f>
        <v/>
      </c>
    </row>
    <row r="39" customFormat="false" ht="15" hidden="false" customHeight="false" outlineLevel="0" collapsed="false">
      <c r="A39" s="0" t="n">
        <v>38</v>
      </c>
      <c r="B39" s="0" t="s">
        <v>94</v>
      </c>
      <c r="C39" s="44" t="n">
        <f aca="false">INDEX(Projects!$B$2:$B$100,MATCH(B39,Projects!$A$2:$A$100,0))</f>
        <v>46113</v>
      </c>
      <c r="D39" s="0" t="n">
        <v>38</v>
      </c>
      <c r="E39" s="0" t="s">
        <v>34</v>
      </c>
      <c r="F39" s="0" t="s">
        <v>30</v>
      </c>
      <c r="H39" s="0" t="s">
        <v>66</v>
      </c>
      <c r="I39" s="45" t="str">
        <f aca="false">B39&amp;"|"&amp;E39</f>
        <v>IW10|Appliances</v>
      </c>
      <c r="J39" s="45" t="str">
        <f aca="false">IF(H39="","",B39&amp;"|"&amp;H39)</f>
        <v>IW10|Countertops</v>
      </c>
      <c r="K39" s="46" t="n">
        <v>2</v>
      </c>
      <c r="L39" s="47" t="n">
        <f aca="false">IF(H39="",C39,WORKDAY(INDEX($O$2:$O$2000,MATCH(J39,$I$2:$I$2000,0)),1))</f>
        <v>46269</v>
      </c>
      <c r="M39" s="47" t="str">
        <f aca="false">IF(G39="","",IFERROR(maxifs($O$2:O38,$G$2:G38,G39),""))</f>
        <v/>
      </c>
      <c r="N39" s="47" t="n">
        <f aca="false">IF(G39="",L39,MAX(L39,IF(M39="",L39,WORKDAY(M39,1))))</f>
        <v>46269</v>
      </c>
      <c r="O39" s="47" t="n">
        <f aca="false">WORKDAY(N39,K39-1)</f>
        <v>46272</v>
      </c>
      <c r="P39" s="45" t="n">
        <f aca="false">MAX(0,NETWORKDAYS(L39,N39)-1)</f>
        <v>0</v>
      </c>
      <c r="Q39" s="45" t="str">
        <f aca="false">IF(P39&gt;0,"BOTTLENECK DELAY","")</f>
        <v/>
      </c>
    </row>
    <row r="40" customFormat="false" ht="15" hidden="false" customHeight="false" outlineLevel="0" collapsed="false">
      <c r="A40" s="0" t="n">
        <v>39</v>
      </c>
      <c r="B40" s="0" t="s">
        <v>94</v>
      </c>
      <c r="C40" s="44" t="n">
        <f aca="false">INDEX(Projects!$B$2:$B$100,MATCH(B40,Projects!$A$2:$A$100,0))</f>
        <v>46113</v>
      </c>
      <c r="D40" s="0" t="n">
        <v>39</v>
      </c>
      <c r="E40" s="0" t="s">
        <v>38</v>
      </c>
      <c r="F40" s="0" t="s">
        <v>35</v>
      </c>
      <c r="H40" s="0" t="s">
        <v>61</v>
      </c>
      <c r="I40" s="45" t="str">
        <f aca="false">B40&amp;"|"&amp;E40</f>
        <v>IW10|HVAC Finish</v>
      </c>
      <c r="J40" s="45" t="str">
        <f aca="false">IF(H40="","",B40&amp;"|"&amp;H40)</f>
        <v>IW10|Painting Main</v>
      </c>
      <c r="K40" s="46" t="n">
        <v>2</v>
      </c>
      <c r="L40" s="47" t="n">
        <f aca="false">IF(H40="",C40,WORKDAY(INDEX($O$2:$O$2000,MATCH(J40,$I$2:$I$2000,0)),1))</f>
        <v>46283</v>
      </c>
      <c r="M40" s="47" t="str">
        <f aca="false">IF(G40="","",IFERROR(maxifs($O$2:O39,$G$2:G39,G40),""))</f>
        <v/>
      </c>
      <c r="N40" s="47" t="n">
        <f aca="false">IF(G40="",L40,MAX(L40,IF(M40="",L40,WORKDAY(M40,1))))</f>
        <v>46283</v>
      </c>
      <c r="O40" s="47" t="n">
        <f aca="false">WORKDAY(N40,K40-1)</f>
        <v>46286</v>
      </c>
      <c r="P40" s="45" t="n">
        <f aca="false">MAX(0,NETWORKDAYS(L40,N40)-1)</f>
        <v>0</v>
      </c>
      <c r="Q40" s="45" t="str">
        <f aca="false">IF(P40&gt;0,"BOTTLENECK DELAY","")</f>
        <v/>
      </c>
    </row>
    <row r="41" customFormat="false" ht="15" hidden="false" customHeight="false" outlineLevel="0" collapsed="false">
      <c r="A41" s="0" t="n">
        <v>40</v>
      </c>
      <c r="B41" s="0" t="s">
        <v>94</v>
      </c>
      <c r="C41" s="44" t="n">
        <f aca="false">INDEX(Projects!$B$2:$B$100,MATCH(B41,Projects!$A$2:$A$100,0))</f>
        <v>46113</v>
      </c>
      <c r="D41" s="0" t="n">
        <v>40</v>
      </c>
      <c r="E41" s="0" t="s">
        <v>42</v>
      </c>
      <c r="F41" s="0" t="s">
        <v>39</v>
      </c>
      <c r="G41" s="0" t="s">
        <v>39</v>
      </c>
      <c r="H41" s="0" t="s">
        <v>66</v>
      </c>
      <c r="I41" s="45" t="str">
        <f aca="false">B41&amp;"|"&amp;E41</f>
        <v>IW10|Plumbing Finish</v>
      </c>
      <c r="J41" s="45" t="str">
        <f aca="false">IF(H41="","",B41&amp;"|"&amp;H41)</f>
        <v>IW10|Countertops</v>
      </c>
      <c r="K41" s="46" t="n">
        <v>2</v>
      </c>
      <c r="L41" s="47" t="n">
        <f aca="false">IF(H41="",C41,WORKDAY(INDEX($O$2:$O$2000,MATCH(J41,$I$2:$I$2000,0)),1))</f>
        <v>46269</v>
      </c>
      <c r="M41" s="47" t="str">
        <f aca="false">IF(G41="","",IFERROR(maxifs($O$2:O40,$G$2:G40,G41),""))</f>
        <v/>
      </c>
      <c r="N41" s="47" t="n">
        <f aca="false">IF(G41="",L41,MAX(L41,IF(M41="",L41,WORKDAY(M41,1))))</f>
        <v>46269</v>
      </c>
      <c r="O41" s="47" t="n">
        <f aca="false">WORKDAY(N41,K41-1)</f>
        <v>46272</v>
      </c>
      <c r="P41" s="45" t="n">
        <f aca="false">MAX(0,NETWORKDAYS(L41,N41)-1)</f>
        <v>0</v>
      </c>
      <c r="Q41" s="45" t="str">
        <f aca="false">IF(P41&gt;0,"BOTTLENECK DELAY","")</f>
        <v/>
      </c>
    </row>
    <row r="42" customFormat="false" ht="15" hidden="false" customHeight="false" outlineLevel="0" collapsed="false">
      <c r="A42" s="0" t="n">
        <v>41</v>
      </c>
      <c r="B42" s="0" t="s">
        <v>94</v>
      </c>
      <c r="C42" s="44" t="n">
        <f aca="false">INDEX(Projects!$B$2:$B$100,MATCH(B42,Projects!$A$2:$A$100,0))</f>
        <v>46113</v>
      </c>
      <c r="D42" s="0" t="n">
        <v>41</v>
      </c>
      <c r="E42" s="0" t="s">
        <v>33</v>
      </c>
      <c r="F42" s="0" t="s">
        <v>30</v>
      </c>
      <c r="H42" s="0" t="s">
        <v>61</v>
      </c>
      <c r="I42" s="45" t="str">
        <f aca="false">B42&amp;"|"&amp;E42</f>
        <v>IW10|Electrical Finish</v>
      </c>
      <c r="J42" s="45" t="str">
        <f aca="false">IF(H42="","",B42&amp;"|"&amp;H42)</f>
        <v>IW10|Painting Main</v>
      </c>
      <c r="K42" s="46" t="n">
        <v>4</v>
      </c>
      <c r="L42" s="47" t="n">
        <f aca="false">IF(H42="",C42,WORKDAY(INDEX($O$2:$O$2000,MATCH(J42,$I$2:$I$2000,0)),1))</f>
        <v>46283</v>
      </c>
      <c r="M42" s="47" t="str">
        <f aca="false">IF(G42="","",IFERROR(maxifs($O$2:O41,$G$2:G41,G42),""))</f>
        <v/>
      </c>
      <c r="N42" s="47" t="n">
        <f aca="false">IF(G42="",L42,MAX(L42,IF(M42="",L42,WORKDAY(M42,1))))</f>
        <v>46283</v>
      </c>
      <c r="O42" s="47" t="n">
        <f aca="false">WORKDAY(N42,K42-1)</f>
        <v>46288</v>
      </c>
      <c r="P42" s="45" t="n">
        <f aca="false">MAX(0,NETWORKDAYS(L42,N42)-1)</f>
        <v>0</v>
      </c>
      <c r="Q42" s="45" t="str">
        <f aca="false">IF(P42&gt;0,"BOTTLENECK DELAY","")</f>
        <v/>
      </c>
    </row>
    <row r="43" customFormat="false" ht="15" hidden="false" customHeight="false" outlineLevel="0" collapsed="false">
      <c r="A43" s="0" t="n">
        <v>42</v>
      </c>
      <c r="B43" s="0" t="s">
        <v>94</v>
      </c>
      <c r="C43" s="44" t="n">
        <f aca="false">INDEX(Projects!$B$2:$B$100,MATCH(B43,Projects!$A$2:$A$100,0))</f>
        <v>46113</v>
      </c>
      <c r="D43" s="0" t="n">
        <v>42</v>
      </c>
      <c r="E43" s="0" t="s">
        <v>49</v>
      </c>
      <c r="F43" s="0" t="s">
        <v>46</v>
      </c>
      <c r="H43" s="0" t="s">
        <v>33</v>
      </c>
      <c r="I43" s="45" t="str">
        <f aca="false">B43&amp;"|"&amp;E43</f>
        <v>IW10|Insulation Ceiling</v>
      </c>
      <c r="J43" s="45" t="str">
        <f aca="false">IF(H43="","",B43&amp;"|"&amp;H43)</f>
        <v>IW10|Electrical Finish</v>
      </c>
      <c r="K43" s="46" t="n">
        <v>2</v>
      </c>
      <c r="L43" s="47" t="n">
        <f aca="false">IF(H43="",C43,WORKDAY(INDEX($O$2:$O$2000,MATCH(J43,$I$2:$I$2000,0)),1))</f>
        <v>46289</v>
      </c>
      <c r="M43" s="47" t="str">
        <f aca="false">IF(G43="","",IFERROR(maxifs($O$2:O42,$G$2:G42,G43),""))</f>
        <v/>
      </c>
      <c r="N43" s="47" t="n">
        <f aca="false">IF(G43="",L43,MAX(L43,IF(M43="",L43,WORKDAY(M43,1))))</f>
        <v>46289</v>
      </c>
      <c r="O43" s="47" t="n">
        <f aca="false">WORKDAY(N43,K43-1)</f>
        <v>46290</v>
      </c>
      <c r="P43" s="45" t="n">
        <f aca="false">MAX(0,NETWORKDAYS(L43,N43)-1)</f>
        <v>0</v>
      </c>
      <c r="Q43" s="45" t="str">
        <f aca="false">IF(P43&gt;0,"BOTTLENECK DELAY","")</f>
        <v/>
      </c>
    </row>
    <row r="44" customFormat="false" ht="15" hidden="false" customHeight="false" outlineLevel="0" collapsed="false">
      <c r="A44" s="0" t="n">
        <v>43</v>
      </c>
      <c r="B44" s="0" t="s">
        <v>94</v>
      </c>
      <c r="C44" s="44" t="n">
        <f aca="false">INDEX(Projects!$B$2:$B$100,MATCH(B44,Projects!$A$2:$A$100,0))</f>
        <v>46113</v>
      </c>
      <c r="D44" s="0" t="n">
        <v>43</v>
      </c>
      <c r="E44" s="0" t="s">
        <v>62</v>
      </c>
      <c r="F44" s="0" t="s">
        <v>59</v>
      </c>
      <c r="H44" s="0" t="s">
        <v>33</v>
      </c>
      <c r="I44" s="45" t="str">
        <f aca="false">B44&amp;"|"&amp;E44</f>
        <v>IW10|Painting Finish</v>
      </c>
      <c r="J44" s="45" t="str">
        <f aca="false">IF(H44="","",B44&amp;"|"&amp;H44)</f>
        <v>IW10|Electrical Finish</v>
      </c>
      <c r="K44" s="46" t="n">
        <v>5</v>
      </c>
      <c r="L44" s="47" t="n">
        <f aca="false">IF(H44="",C44,WORKDAY(INDEX($O$2:$O$2000,MATCH(J44,$I$2:$I$2000,0)),1))</f>
        <v>46289</v>
      </c>
      <c r="M44" s="47" t="str">
        <f aca="false">IF(G44="","",IFERROR(maxifs($O$2:O43,$G$2:G43,G44),""))</f>
        <v/>
      </c>
      <c r="N44" s="47" t="n">
        <f aca="false">IF(G44="",L44,MAX(L44,IF(M44="",L44,WORKDAY(M44,1))))</f>
        <v>46289</v>
      </c>
      <c r="O44" s="47" t="n">
        <f aca="false">WORKDAY(N44,K44-1)</f>
        <v>46295</v>
      </c>
      <c r="P44" s="45" t="n">
        <f aca="false">MAX(0,NETWORKDAYS(L44,N44)-1)</f>
        <v>0</v>
      </c>
      <c r="Q44" s="45" t="str">
        <f aca="false">IF(P44&gt;0,"BOTTLENECK DELAY","")</f>
        <v/>
      </c>
    </row>
    <row r="45" customFormat="false" ht="15" hidden="false" customHeight="false" outlineLevel="0" collapsed="false">
      <c r="A45" s="0" t="n">
        <v>44</v>
      </c>
      <c r="B45" s="0" t="s">
        <v>94</v>
      </c>
      <c r="C45" s="44" t="n">
        <f aca="false">INDEX(Projects!$B$2:$B$100,MATCH(B45,Projects!$A$2:$A$100,0))</f>
        <v>46113</v>
      </c>
      <c r="D45" s="0" t="n">
        <v>44</v>
      </c>
      <c r="E45" s="0" t="s">
        <v>79</v>
      </c>
      <c r="F45" s="0" t="s">
        <v>78</v>
      </c>
      <c r="H45" s="0" t="s">
        <v>62</v>
      </c>
      <c r="I45" s="45" t="str">
        <f aca="false">B45&amp;"|"&amp;E45</f>
        <v>IW10|Cleaning</v>
      </c>
      <c r="J45" s="45" t="str">
        <f aca="false">IF(H45="","",B45&amp;"|"&amp;H45)</f>
        <v>IW10|Painting Finish</v>
      </c>
      <c r="K45" s="46" t="n">
        <v>3</v>
      </c>
      <c r="L45" s="47" t="n">
        <f aca="false">IF(H45="",C45,WORKDAY(INDEX($O$2:$O$2000,MATCH(J45,$I$2:$I$2000,0)),1))</f>
        <v>46296</v>
      </c>
      <c r="M45" s="47" t="str">
        <f aca="false">IF(G45="","",IFERROR(maxifs($O$2:O44,$G$2:G44,G45),""))</f>
        <v/>
      </c>
      <c r="N45" s="47" t="n">
        <f aca="false">IF(G45="",L45,MAX(L45,IF(M45="",L45,WORKDAY(M45,1))))</f>
        <v>46296</v>
      </c>
      <c r="O45" s="47" t="n">
        <f aca="false">WORKDAY(N45,K45-1)</f>
        <v>46300</v>
      </c>
      <c r="P45" s="45" t="n">
        <f aca="false">MAX(0,NETWORKDAYS(L45,N45)-1)</f>
        <v>0</v>
      </c>
      <c r="Q45" s="45" t="str">
        <f aca="false">IF(P45&gt;0,"BOTTLENECK DELAY","")</f>
        <v/>
      </c>
    </row>
    <row r="46" customFormat="false" ht="15" hidden="false" customHeight="false" outlineLevel="0" collapsed="false">
      <c r="A46" s="0" t="n">
        <v>45</v>
      </c>
      <c r="B46" s="0" t="s">
        <v>105</v>
      </c>
      <c r="C46" s="44" t="n">
        <f aca="false">INDEX(Projects!$B$2:$B$100,MATCH(B46,Projects!$A$2:$A$100,0))</f>
        <v>46134</v>
      </c>
      <c r="D46" s="0" t="n">
        <v>1</v>
      </c>
      <c r="E46" s="0" t="s">
        <v>16</v>
      </c>
      <c r="F46" s="0" t="s">
        <v>120</v>
      </c>
      <c r="I46" s="45" t="str">
        <f aca="false">B46&amp;"|"&amp;E46</f>
        <v>IW11|Estimate</v>
      </c>
      <c r="J46" s="45" t="str">
        <f aca="false">IF(H46="","",B46&amp;"|"&amp;H46)</f>
        <v/>
      </c>
      <c r="K46" s="46" t="n">
        <v>10</v>
      </c>
      <c r="L46" s="47" t="n">
        <f aca="false">IF(H46="",C46,WORKDAY(INDEX($O$2:$O$2000,MATCH(J46,$I$2:$I$2000,0)),1))</f>
        <v>46134</v>
      </c>
      <c r="M46" s="47" t="str">
        <f aca="false">IF(G46="","",IFERROR(maxifs($O$2:O45,$G$2:G45,G46),""))</f>
        <v/>
      </c>
      <c r="N46" s="47" t="n">
        <f aca="false">IF(G46="",L46,MAX(L46,IF(M46="",L46,WORKDAY(M46,1))))</f>
        <v>46134</v>
      </c>
      <c r="O46" s="47" t="n">
        <f aca="false">WORKDAY(N46,K46-1)</f>
        <v>46147</v>
      </c>
      <c r="P46" s="45" t="n">
        <f aca="false">MAX(0,NETWORKDAYS(L46,N46)-1)</f>
        <v>0</v>
      </c>
      <c r="Q46" s="45" t="str">
        <f aca="false">IF(P46&gt;0,"BOTTLENECK DELAY","")</f>
        <v/>
      </c>
    </row>
    <row r="47" customFormat="false" ht="15" hidden="false" customHeight="false" outlineLevel="0" collapsed="false">
      <c r="A47" s="0" t="n">
        <v>46</v>
      </c>
      <c r="B47" s="0" t="s">
        <v>105</v>
      </c>
      <c r="C47" s="44" t="n">
        <f aca="false">INDEX(Projects!$B$2:$B$100,MATCH(B47,Projects!$A$2:$A$100,0))</f>
        <v>46134</v>
      </c>
      <c r="D47" s="0" t="n">
        <v>2</v>
      </c>
      <c r="E47" s="0" t="s">
        <v>17</v>
      </c>
      <c r="F47" s="0" t="s">
        <v>120</v>
      </c>
      <c r="H47" s="0" t="s">
        <v>16</v>
      </c>
      <c r="I47" s="45" t="str">
        <f aca="false">B47&amp;"|"&amp;E47</f>
        <v>IW11|Clearing</v>
      </c>
      <c r="J47" s="45" t="str">
        <f aca="false">IF(H47="","",B47&amp;"|"&amp;H47)</f>
        <v>IW11|Estimate</v>
      </c>
      <c r="K47" s="46" t="n">
        <v>3</v>
      </c>
      <c r="L47" s="47" t="n">
        <f aca="false">IF(H47="",C47,WORKDAY(INDEX($O$2:$O$2000,MATCH(J47,$I$2:$I$2000,0)),1))</f>
        <v>46148</v>
      </c>
      <c r="M47" s="47" t="str">
        <f aca="false">IF(G47="","",IFERROR(maxifs($O$2:O46,$G$2:G46,G47),""))</f>
        <v/>
      </c>
      <c r="N47" s="47" t="n">
        <f aca="false">IF(G47="",L47,MAX(L47,IF(M47="",L47,WORKDAY(M47,1))))</f>
        <v>46148</v>
      </c>
      <c r="O47" s="47" t="n">
        <f aca="false">WORKDAY(N47,K47-1)</f>
        <v>46150</v>
      </c>
      <c r="P47" s="45" t="n">
        <f aca="false">MAX(0,NETWORKDAYS(L47,N47)-1)</f>
        <v>0</v>
      </c>
      <c r="Q47" s="45" t="str">
        <f aca="false">IF(P47&gt;0,"BOTTLENECK DELAY","")</f>
        <v/>
      </c>
    </row>
    <row r="48" customFormat="false" ht="15" hidden="false" customHeight="false" outlineLevel="0" collapsed="false">
      <c r="A48" s="0" t="n">
        <v>47</v>
      </c>
      <c r="B48" s="0" t="s">
        <v>105</v>
      </c>
      <c r="C48" s="44" t="n">
        <f aca="false">INDEX(Projects!$B$2:$B$100,MATCH(B48,Projects!$A$2:$A$100,0))</f>
        <v>46134</v>
      </c>
      <c r="D48" s="0" t="n">
        <v>3</v>
      </c>
      <c r="E48" s="0" t="s">
        <v>18</v>
      </c>
      <c r="F48" s="0" t="s">
        <v>120</v>
      </c>
      <c r="H48" s="0" t="s">
        <v>17</v>
      </c>
      <c r="I48" s="45" t="str">
        <f aca="false">B48&amp;"|"&amp;E48</f>
        <v>IW11|Site Prep</v>
      </c>
      <c r="J48" s="45" t="str">
        <f aca="false">IF(H48="","",B48&amp;"|"&amp;H48)</f>
        <v>IW11|Clearing</v>
      </c>
      <c r="K48" s="46" t="n">
        <v>2</v>
      </c>
      <c r="L48" s="47" t="n">
        <f aca="false">IF(H48="",C48,WORKDAY(INDEX($O$2:$O$2000,MATCH(J48,$I$2:$I$2000,0)),1))</f>
        <v>46153</v>
      </c>
      <c r="M48" s="47" t="str">
        <f aca="false">IF(G48="","",IFERROR(maxifs($O$2:O47,$G$2:G47,G48),""))</f>
        <v/>
      </c>
      <c r="N48" s="47" t="n">
        <f aca="false">IF(G48="",L48,MAX(L48,IF(M48="",L48,WORKDAY(M48,1))))</f>
        <v>46153</v>
      </c>
      <c r="O48" s="47" t="n">
        <f aca="false">WORKDAY(N48,K48-1)</f>
        <v>46154</v>
      </c>
      <c r="P48" s="45" t="n">
        <f aca="false">MAX(0,NETWORKDAYS(L48,N48)-1)</f>
        <v>0</v>
      </c>
      <c r="Q48" s="45" t="str">
        <f aca="false">IF(P48&gt;0,"BOTTLENECK DELAY","")</f>
        <v/>
      </c>
    </row>
    <row r="49" customFormat="false" ht="15" hidden="false" customHeight="false" outlineLevel="0" collapsed="false">
      <c r="A49" s="0" t="n">
        <v>48</v>
      </c>
      <c r="B49" s="0" t="s">
        <v>105</v>
      </c>
      <c r="C49" s="44" t="n">
        <f aca="false">INDEX(Projects!$B$2:$B$100,MATCH(B49,Projects!$A$2:$A$100,0))</f>
        <v>46134</v>
      </c>
      <c r="D49" s="0" t="n">
        <v>4</v>
      </c>
      <c r="E49" s="0" t="s">
        <v>12</v>
      </c>
      <c r="F49" s="0" t="s">
        <v>121</v>
      </c>
      <c r="G49" s="0" t="s">
        <v>121</v>
      </c>
      <c r="H49" s="0" t="s">
        <v>18</v>
      </c>
      <c r="I49" s="45" t="str">
        <f aca="false">B49&amp;"|"&amp;E49</f>
        <v>IW11|Footer</v>
      </c>
      <c r="J49" s="45" t="str">
        <f aca="false">IF(H49="","",B49&amp;"|"&amp;H49)</f>
        <v>IW11|Site Prep</v>
      </c>
      <c r="K49" s="46" t="n">
        <v>4</v>
      </c>
      <c r="L49" s="47" t="n">
        <f aca="false">IF(H49="",C49,WORKDAY(INDEX($O$2:$O$2000,MATCH(J49,$I$2:$I$2000,0)),1))</f>
        <v>46155</v>
      </c>
      <c r="M49" s="47" t="str">
        <f aca="false">IF(G49="","",IFERROR(maxifs($O$2:O48,$G$2:G48,G49),""))</f>
        <v/>
      </c>
      <c r="N49" s="47" t="n">
        <f aca="false">IF(G49="",L49,MAX(L49,IF(M49="",L49,WORKDAY(M49,1))))</f>
        <v>46155</v>
      </c>
      <c r="O49" s="47" t="n">
        <f aca="false">WORKDAY(N49,K49-1)</f>
        <v>46160</v>
      </c>
      <c r="P49" s="45" t="n">
        <f aca="false">MAX(0,NETWORKDAYS(L49,N49)-1)</f>
        <v>0</v>
      </c>
      <c r="Q49" s="45" t="str">
        <f aca="false">IF(P49&gt;0,"BOTTLENECK DELAY","")</f>
        <v/>
      </c>
    </row>
    <row r="50" customFormat="false" ht="15" hidden="false" customHeight="false" outlineLevel="0" collapsed="false">
      <c r="A50" s="0" t="n">
        <v>49</v>
      </c>
      <c r="B50" s="0" t="s">
        <v>105</v>
      </c>
      <c r="C50" s="44" t="n">
        <f aca="false">INDEX(Projects!$B$2:$B$100,MATCH(B50,Projects!$A$2:$A$100,0))</f>
        <v>46134</v>
      </c>
      <c r="D50" s="0" t="n">
        <v>5</v>
      </c>
      <c r="E50" s="0" t="s">
        <v>22</v>
      </c>
      <c r="F50" s="0" t="s">
        <v>21</v>
      </c>
      <c r="H50" s="0" t="s">
        <v>12</v>
      </c>
      <c r="I50" s="45" t="str">
        <f aca="false">B50&amp;"|"&amp;E50</f>
        <v>IW11|Block</v>
      </c>
      <c r="J50" s="45" t="str">
        <f aca="false">IF(H50="","",B50&amp;"|"&amp;H50)</f>
        <v>IW11|Footer</v>
      </c>
      <c r="K50" s="46" t="n">
        <v>10</v>
      </c>
      <c r="L50" s="47" t="n">
        <f aca="false">IF(H50="",C50,WORKDAY(INDEX($O$2:$O$2000,MATCH(J50,$I$2:$I$2000,0)),1))</f>
        <v>46161</v>
      </c>
      <c r="M50" s="47" t="str">
        <f aca="false">IF(G50="","",IFERROR(maxifs($O$2:O49,$G$2:G49,G50),""))</f>
        <v/>
      </c>
      <c r="N50" s="47" t="n">
        <f aca="false">IF(G50="",L50,MAX(L50,IF(M50="",L50,WORKDAY(M50,1))))</f>
        <v>46161</v>
      </c>
      <c r="O50" s="47" t="n">
        <f aca="false">WORKDAY(N50,K50-1)</f>
        <v>46174</v>
      </c>
      <c r="P50" s="45" t="n">
        <f aca="false">MAX(0,NETWORKDAYS(L50,N50)-1)</f>
        <v>0</v>
      </c>
      <c r="Q50" s="45" t="str">
        <f aca="false">IF(P50&gt;0,"BOTTLENECK DELAY","")</f>
        <v/>
      </c>
    </row>
    <row r="51" customFormat="false" ht="15" hidden="false" customHeight="false" outlineLevel="0" collapsed="false">
      <c r="A51" s="0" t="n">
        <v>50</v>
      </c>
      <c r="B51" s="0" t="s">
        <v>105</v>
      </c>
      <c r="C51" s="44" t="n">
        <f aca="false">INDEX(Projects!$B$2:$B$100,MATCH(B51,Projects!$A$2:$A$100,0))</f>
        <v>46134</v>
      </c>
      <c r="D51" s="0" t="n">
        <v>6</v>
      </c>
      <c r="E51" s="0" t="s">
        <v>72</v>
      </c>
      <c r="F51" s="0" t="s">
        <v>69</v>
      </c>
      <c r="H51" s="0" t="s">
        <v>22</v>
      </c>
      <c r="I51" s="45" t="str">
        <f aca="false">B51&amp;"|"&amp;E51</f>
        <v>IW11|French Drain</v>
      </c>
      <c r="J51" s="45" t="str">
        <f aca="false">IF(H51="","",B51&amp;"|"&amp;H51)</f>
        <v>IW11|Block</v>
      </c>
      <c r="K51" s="46" t="n">
        <v>2</v>
      </c>
      <c r="L51" s="47" t="n">
        <f aca="false">IF(H51="",C51,WORKDAY(INDEX($O$2:$O$2000,MATCH(J51,$I$2:$I$2000,0)),1))</f>
        <v>46175</v>
      </c>
      <c r="M51" s="47" t="str">
        <f aca="false">IF(G51="","",IFERROR(maxifs($O$2:O50,$G$2:G50,G51),""))</f>
        <v/>
      </c>
      <c r="N51" s="47" t="n">
        <f aca="false">IF(G51="",L51,MAX(L51,IF(M51="",L51,WORKDAY(M51,1))))</f>
        <v>46175</v>
      </c>
      <c r="O51" s="47" t="n">
        <f aca="false">WORKDAY(N51,K51-1)</f>
        <v>46176</v>
      </c>
      <c r="P51" s="45" t="n">
        <f aca="false">MAX(0,NETWORKDAYS(L51,N51)-1)</f>
        <v>0</v>
      </c>
      <c r="Q51" s="45" t="str">
        <f aca="false">IF(P51&gt;0,"BOTTLENECK DELAY","")</f>
        <v/>
      </c>
    </row>
    <row r="52" customFormat="false" ht="15" hidden="false" customHeight="false" outlineLevel="0" collapsed="false">
      <c r="A52" s="0" t="n">
        <v>51</v>
      </c>
      <c r="B52" s="0" t="s">
        <v>105</v>
      </c>
      <c r="C52" s="44" t="n">
        <f aca="false">INDEX(Projects!$B$2:$B$100,MATCH(B52,Projects!$A$2:$A$100,0))</f>
        <v>46134</v>
      </c>
      <c r="D52" s="0" t="n">
        <v>7</v>
      </c>
      <c r="E52" s="0" t="s">
        <v>47</v>
      </c>
      <c r="F52" s="0" t="s">
        <v>46</v>
      </c>
      <c r="H52" s="0" t="s">
        <v>22</v>
      </c>
      <c r="I52" s="45" t="str">
        <f aca="false">B52&amp;"|"&amp;E52</f>
        <v>IW11|Insulation Block</v>
      </c>
      <c r="J52" s="45" t="str">
        <f aca="false">IF(H52="","",B52&amp;"|"&amp;H52)</f>
        <v>IW11|Block</v>
      </c>
      <c r="K52" s="46" t="n">
        <v>2</v>
      </c>
      <c r="L52" s="47" t="n">
        <f aca="false">IF(H52="",C52,WORKDAY(INDEX($O$2:$O$2000,MATCH(J52,$I$2:$I$2000,0)),1))</f>
        <v>46175</v>
      </c>
      <c r="M52" s="47" t="str">
        <f aca="false">IF(G52="","",IFERROR(maxifs($O$2:O51,$G$2:G51,G52),""))</f>
        <v/>
      </c>
      <c r="N52" s="47" t="n">
        <f aca="false">IF(G52="",L52,MAX(L52,IF(M52="",L52,WORKDAY(M52,1))))</f>
        <v>46175</v>
      </c>
      <c r="O52" s="47" t="n">
        <f aca="false">WORKDAY(N52,K52-1)</f>
        <v>46176</v>
      </c>
      <c r="P52" s="45" t="n">
        <f aca="false">MAX(0,NETWORKDAYS(L52,N52)-1)</f>
        <v>0</v>
      </c>
      <c r="Q52" s="45" t="str">
        <f aca="false">IF(P52&gt;0,"BOTTLENECK DELAY","")</f>
        <v/>
      </c>
    </row>
    <row r="53" customFormat="false" ht="15" hidden="false" customHeight="false" outlineLevel="0" collapsed="false">
      <c r="A53" s="0" t="n">
        <v>52</v>
      </c>
      <c r="B53" s="0" t="s">
        <v>105</v>
      </c>
      <c r="C53" s="44" t="n">
        <f aca="false">INDEX(Projects!$B$2:$B$100,MATCH(B53,Projects!$A$2:$A$100,0))</f>
        <v>46134</v>
      </c>
      <c r="D53" s="0" t="n">
        <v>8</v>
      </c>
      <c r="E53" s="0" t="s">
        <v>95</v>
      </c>
      <c r="H53" s="0" t="s">
        <v>47</v>
      </c>
      <c r="I53" s="45" t="str">
        <f aca="false">B53&amp;"|"&amp;E53</f>
        <v>IW11|Rock Work</v>
      </c>
      <c r="J53" s="45" t="str">
        <f aca="false">IF(H53="","",B53&amp;"|"&amp;H53)</f>
        <v>IW11|Insulation Block</v>
      </c>
      <c r="K53" s="46" t="n">
        <v>2</v>
      </c>
      <c r="L53" s="47" t="n">
        <f aca="false">IF(H53="",C53,WORKDAY(INDEX($O$2:$O$2000,MATCH(J53,$I$2:$I$2000,0)),1))</f>
        <v>46177</v>
      </c>
      <c r="M53" s="47" t="str">
        <f aca="false">IF(G53="","",IFERROR(maxifs($O$2:O52,$G$2:G52,G53),""))</f>
        <v/>
      </c>
      <c r="N53" s="47" t="n">
        <f aca="false">IF(G53="",L53,MAX(L53,IF(M53="",L53,WORKDAY(M53,1))))</f>
        <v>46177</v>
      </c>
      <c r="O53" s="47" t="n">
        <f aca="false">WORKDAY(N53,K53-1)</f>
        <v>46178</v>
      </c>
      <c r="P53" s="45" t="n">
        <f aca="false">MAX(0,NETWORKDAYS(L53,N53)-1)</f>
        <v>0</v>
      </c>
      <c r="Q53" s="45" t="str">
        <f aca="false">IF(P53&gt;0,"BOTTLENECK DELAY","")</f>
        <v/>
      </c>
    </row>
    <row r="54" customFormat="false" ht="15" hidden="false" customHeight="false" outlineLevel="0" collapsed="false">
      <c r="A54" s="0" t="n">
        <v>53</v>
      </c>
      <c r="B54" s="0" t="s">
        <v>105</v>
      </c>
      <c r="C54" s="44" t="n">
        <f aca="false">INDEX(Projects!$B$2:$B$100,MATCH(B54,Projects!$A$2:$A$100,0))</f>
        <v>46134</v>
      </c>
      <c r="D54" s="0" t="n">
        <v>9</v>
      </c>
      <c r="E54" s="0" t="s">
        <v>36</v>
      </c>
      <c r="F54" s="0" t="s">
        <v>35</v>
      </c>
      <c r="H54" s="0" t="s">
        <v>95</v>
      </c>
      <c r="I54" s="45" t="str">
        <f aca="false">B54&amp;"|"&amp;E54</f>
        <v>IW11|HVAC Pre</v>
      </c>
      <c r="J54" s="45" t="str">
        <f aca="false">IF(H54="","",B54&amp;"|"&amp;H54)</f>
        <v>IW11|Rock Work</v>
      </c>
      <c r="K54" s="46" t="n">
        <v>2</v>
      </c>
      <c r="L54" s="47" t="n">
        <f aca="false">IF(H54="",C54,WORKDAY(INDEX($O$2:$O$2000,MATCH(J54,$I$2:$I$2000,0)),1))</f>
        <v>46181</v>
      </c>
      <c r="M54" s="47" t="str">
        <f aca="false">IF(G54="","",IFERROR(maxifs($O$2:O53,$G$2:G53,G54),""))</f>
        <v/>
      </c>
      <c r="N54" s="47" t="n">
        <f aca="false">IF(G54="",L54,MAX(L54,IF(M54="",L54,WORKDAY(M54,1))))</f>
        <v>46181</v>
      </c>
      <c r="O54" s="47" t="n">
        <f aca="false">WORKDAY(N54,K54-1)</f>
        <v>46182</v>
      </c>
      <c r="P54" s="45" t="n">
        <f aca="false">MAX(0,NETWORKDAYS(L54,N54)-1)</f>
        <v>0</v>
      </c>
      <c r="Q54" s="45" t="str">
        <f aca="false">IF(P54&gt;0,"BOTTLENECK DELAY","")</f>
        <v/>
      </c>
    </row>
    <row r="55" customFormat="false" ht="15" hidden="false" customHeight="false" outlineLevel="0" collapsed="false">
      <c r="A55" s="0" t="n">
        <v>54</v>
      </c>
      <c r="B55" s="0" t="s">
        <v>105</v>
      </c>
      <c r="C55" s="44" t="n">
        <f aca="false">INDEX(Projects!$B$2:$B$100,MATCH(B55,Projects!$A$2:$A$100,0))</f>
        <v>46134</v>
      </c>
      <c r="D55" s="0" t="n">
        <v>10</v>
      </c>
      <c r="E55" s="0" t="s">
        <v>40</v>
      </c>
      <c r="F55" s="0" t="s">
        <v>39</v>
      </c>
      <c r="G55" s="0" t="s">
        <v>39</v>
      </c>
      <c r="H55" s="0" t="s">
        <v>95</v>
      </c>
      <c r="I55" s="45" t="str">
        <f aca="false">B55&amp;"|"&amp;E55</f>
        <v>IW11|Plumbing Pre</v>
      </c>
      <c r="J55" s="45" t="str">
        <f aca="false">IF(H55="","",B55&amp;"|"&amp;H55)</f>
        <v>IW11|Rock Work</v>
      </c>
      <c r="K55" s="46" t="n">
        <v>5</v>
      </c>
      <c r="L55" s="47" t="n">
        <f aca="false">IF(H55="",C55,WORKDAY(INDEX($O$2:$O$2000,MATCH(J55,$I$2:$I$2000,0)),1))</f>
        <v>46181</v>
      </c>
      <c r="M55" s="47" t="str">
        <f aca="false">IF(G55="","",IFERROR(maxifs($O$2:O54,$G$2:G54,G55),""))</f>
        <v/>
      </c>
      <c r="N55" s="47" t="n">
        <f aca="false">IF(G55="",L55,MAX(L55,IF(M55="",L55,WORKDAY(M55,1))))</f>
        <v>46181</v>
      </c>
      <c r="O55" s="47" t="n">
        <f aca="false">WORKDAY(N55,K55-1)</f>
        <v>46185</v>
      </c>
      <c r="P55" s="45" t="n">
        <f aca="false">MAX(0,NETWORKDAYS(L55,N55)-1)</f>
        <v>0</v>
      </c>
      <c r="Q55" s="45" t="str">
        <f aca="false">IF(P55&gt;0,"BOTTLENECK DELAY","")</f>
        <v/>
      </c>
    </row>
    <row r="56" customFormat="false" ht="15" hidden="false" customHeight="false" outlineLevel="0" collapsed="false">
      <c r="A56" s="0" t="n">
        <v>55</v>
      </c>
      <c r="B56" s="0" t="s">
        <v>105</v>
      </c>
      <c r="C56" s="44" t="n">
        <f aca="false">INDEX(Projects!$B$2:$B$100,MATCH(B56,Projects!$A$2:$A$100,0))</f>
        <v>46134</v>
      </c>
      <c r="D56" s="0" t="n">
        <v>11</v>
      </c>
      <c r="E56" s="0" t="s">
        <v>31</v>
      </c>
      <c r="F56" s="0" t="s">
        <v>30</v>
      </c>
      <c r="H56" s="0" t="s">
        <v>95</v>
      </c>
      <c r="I56" s="45" t="str">
        <f aca="false">B56&amp;"|"&amp;E56</f>
        <v>IW11|Electrical Pre</v>
      </c>
      <c r="J56" s="45" t="str">
        <f aca="false">IF(H56="","",B56&amp;"|"&amp;H56)</f>
        <v>IW11|Rock Work</v>
      </c>
      <c r="K56" s="46" t="n">
        <v>2</v>
      </c>
      <c r="L56" s="47" t="n">
        <f aca="false">IF(H56="",C56,WORKDAY(INDEX($O$2:$O$2000,MATCH(J56,$I$2:$I$2000,0)),1))</f>
        <v>46181</v>
      </c>
      <c r="M56" s="47" t="str">
        <f aca="false">IF(G56="","",IFERROR(maxifs($O$2:O55,$G$2:G55,G56),""))</f>
        <v/>
      </c>
      <c r="N56" s="47" t="n">
        <f aca="false">IF(G56="",L56,MAX(L56,IF(M56="",L56,WORKDAY(M56,1))))</f>
        <v>46181</v>
      </c>
      <c r="O56" s="47" t="n">
        <f aca="false">WORKDAY(N56,K56-1)</f>
        <v>46182</v>
      </c>
      <c r="P56" s="45" t="n">
        <f aca="false">MAX(0,NETWORKDAYS(L56,N56)-1)</f>
        <v>0</v>
      </c>
      <c r="Q56" s="45" t="str">
        <f aca="false">IF(P56&gt;0,"BOTTLENECK DELAY","")</f>
        <v/>
      </c>
    </row>
    <row r="57" customFormat="false" ht="15" hidden="false" customHeight="false" outlineLevel="0" collapsed="false">
      <c r="A57" s="0" t="n">
        <v>56</v>
      </c>
      <c r="B57" s="0" t="s">
        <v>105</v>
      </c>
      <c r="C57" s="44" t="n">
        <f aca="false">INDEX(Projects!$B$2:$B$100,MATCH(B57,Projects!$A$2:$A$100,0))</f>
        <v>46134</v>
      </c>
      <c r="D57" s="0" t="n">
        <v>12</v>
      </c>
      <c r="E57" s="0" t="s">
        <v>13</v>
      </c>
      <c r="F57" s="0" t="s">
        <v>121</v>
      </c>
      <c r="G57" s="0" t="s">
        <v>121</v>
      </c>
      <c r="H57" s="0" t="s">
        <v>40</v>
      </c>
      <c r="I57" s="45" t="str">
        <f aca="false">B57&amp;"|"&amp;E57</f>
        <v>IW11|Slab</v>
      </c>
      <c r="J57" s="45" t="str">
        <f aca="false">IF(H57="","",B57&amp;"|"&amp;H57)</f>
        <v>IW11|Plumbing Pre</v>
      </c>
      <c r="K57" s="46" t="n">
        <v>4</v>
      </c>
      <c r="L57" s="47" t="n">
        <f aca="false">IF(H57="",C57,WORKDAY(INDEX($O$2:$O$2000,MATCH(J57,$I$2:$I$2000,0)),1))</f>
        <v>46188</v>
      </c>
      <c r="M57" s="47" t="str">
        <f aca="false">IF(G57="","",IFERROR(maxifs($O$2:O56,$G$2:G56,G57),""))</f>
        <v/>
      </c>
      <c r="N57" s="47" t="n">
        <f aca="false">IF(G57="",L57,MAX(L57,IF(M57="",L57,WORKDAY(M57,1))))</f>
        <v>46188</v>
      </c>
      <c r="O57" s="47" t="n">
        <f aca="false">WORKDAY(N57,K57-1)</f>
        <v>46191</v>
      </c>
      <c r="P57" s="45" t="n">
        <f aca="false">MAX(0,NETWORKDAYS(L57,N57)-1)</f>
        <v>0</v>
      </c>
      <c r="Q57" s="45" t="str">
        <f aca="false">IF(P57&gt;0,"BOTTLENECK DELAY","")</f>
        <v/>
      </c>
    </row>
    <row r="58" customFormat="false" ht="15" hidden="false" customHeight="false" outlineLevel="0" collapsed="false">
      <c r="A58" s="0" t="n">
        <v>57</v>
      </c>
      <c r="B58" s="0" t="s">
        <v>105</v>
      </c>
      <c r="C58" s="44" t="n">
        <f aca="false">INDEX(Projects!$B$2:$B$100,MATCH(B58,Projects!$A$2:$A$100,0))</f>
        <v>46134</v>
      </c>
      <c r="D58" s="0" t="n">
        <v>13</v>
      </c>
      <c r="E58" s="0" t="s">
        <v>26</v>
      </c>
      <c r="F58" s="0" t="s">
        <v>122</v>
      </c>
      <c r="H58" s="0" t="s">
        <v>13</v>
      </c>
      <c r="I58" s="45" t="str">
        <f aca="false">B58&amp;"|"&amp;E58</f>
        <v>IW11|Framing</v>
      </c>
      <c r="J58" s="45" t="str">
        <f aca="false">IF(H58="","",B58&amp;"|"&amp;H58)</f>
        <v>IW11|Slab</v>
      </c>
      <c r="K58" s="46" t="n">
        <v>30</v>
      </c>
      <c r="L58" s="47" t="n">
        <f aca="false">IF(H58="",C58,WORKDAY(INDEX($O$2:$O$2000,MATCH(J58,$I$2:$I$2000,0)),1))</f>
        <v>46192</v>
      </c>
      <c r="M58" s="47" t="str">
        <f aca="false">IF(G58="","",IFERROR(maxifs($O$2:O57,$G$2:G57,G58),""))</f>
        <v/>
      </c>
      <c r="N58" s="47" t="n">
        <f aca="false">IF(G58="",L58,MAX(L58,IF(M58="",L58,WORKDAY(M58,1))))</f>
        <v>46192</v>
      </c>
      <c r="O58" s="47" t="n">
        <f aca="false">WORKDAY(N58,K58-1)</f>
        <v>46233</v>
      </c>
      <c r="P58" s="45" t="n">
        <f aca="false">MAX(0,NETWORKDAYS(L58,N58)-1)</f>
        <v>0</v>
      </c>
      <c r="Q58" s="45" t="str">
        <f aca="false">IF(P58&gt;0,"BOTTLENECK DELAY","")</f>
        <v/>
      </c>
    </row>
    <row r="59" customFormat="false" ht="15" hidden="false" customHeight="false" outlineLevel="0" collapsed="false">
      <c r="A59" s="0" t="n">
        <v>58</v>
      </c>
      <c r="B59" s="0" t="s">
        <v>105</v>
      </c>
      <c r="C59" s="44" t="n">
        <f aca="false">INDEX(Projects!$B$2:$B$100,MATCH(B59,Projects!$A$2:$A$100,0))</f>
        <v>46134</v>
      </c>
      <c r="D59" s="0" t="n">
        <v>14</v>
      </c>
      <c r="E59" s="0" t="s">
        <v>29</v>
      </c>
      <c r="F59" s="0" t="s">
        <v>28</v>
      </c>
      <c r="H59" s="0" t="s">
        <v>26</v>
      </c>
      <c r="I59" s="45" t="str">
        <f aca="false">B59&amp;"|"&amp;E59</f>
        <v>IW11|Roofing</v>
      </c>
      <c r="J59" s="45" t="str">
        <f aca="false">IF(H59="","",B59&amp;"|"&amp;H59)</f>
        <v>IW11|Framing</v>
      </c>
      <c r="K59" s="46" t="n">
        <v>4</v>
      </c>
      <c r="L59" s="47" t="n">
        <f aca="false">IF(H59="",C59,WORKDAY(INDEX($O$2:$O$2000,MATCH(J59,$I$2:$I$2000,0)),1))</f>
        <v>46234</v>
      </c>
      <c r="M59" s="47" t="str">
        <f aca="false">IF(G59="","",IFERROR(maxifs($O$2:O58,$G$2:G58,G59),""))</f>
        <v/>
      </c>
      <c r="N59" s="47" t="n">
        <f aca="false">IF(G59="",L59,MAX(L59,IF(M59="",L59,WORKDAY(M59,1))))</f>
        <v>46234</v>
      </c>
      <c r="O59" s="47" t="n">
        <f aca="false">WORKDAY(N59,K59-1)</f>
        <v>46239</v>
      </c>
      <c r="P59" s="45" t="n">
        <f aca="false">MAX(0,NETWORKDAYS(L59,N59)-1)</f>
        <v>0</v>
      </c>
      <c r="Q59" s="45" t="str">
        <f aca="false">IF(P59&gt;0,"BOTTLENECK DELAY","")</f>
        <v/>
      </c>
    </row>
    <row r="60" customFormat="false" ht="15" hidden="false" customHeight="false" outlineLevel="0" collapsed="false">
      <c r="A60" s="0" t="n">
        <v>59</v>
      </c>
      <c r="B60" s="0" t="s">
        <v>105</v>
      </c>
      <c r="C60" s="44" t="n">
        <f aca="false">INDEX(Projects!$B$2:$B$100,MATCH(B60,Projects!$A$2:$A$100,0))</f>
        <v>46134</v>
      </c>
      <c r="D60" s="0" t="n">
        <v>15</v>
      </c>
      <c r="E60" s="0" t="s">
        <v>23</v>
      </c>
      <c r="F60" s="0" t="s">
        <v>21</v>
      </c>
      <c r="H60" s="0" t="s">
        <v>29</v>
      </c>
      <c r="I60" s="45" t="str">
        <f aca="false">B60&amp;"|"&amp;E60</f>
        <v>IW11|Brick</v>
      </c>
      <c r="J60" s="45" t="str">
        <f aca="false">IF(H60="","",B60&amp;"|"&amp;H60)</f>
        <v>IW11|Roofing</v>
      </c>
      <c r="K60" s="46" t="n">
        <v>20</v>
      </c>
      <c r="L60" s="47" t="n">
        <f aca="false">IF(H60="",C60,WORKDAY(INDEX($O$2:$O$2000,MATCH(J60,$I$2:$I$2000,0)),1))</f>
        <v>46240</v>
      </c>
      <c r="M60" s="47" t="str">
        <f aca="false">IF(G60="","",IFERROR(maxifs($O$2:O59,$G$2:G59,G60),""))</f>
        <v/>
      </c>
      <c r="N60" s="47" t="n">
        <f aca="false">IF(G60="",L60,MAX(L60,IF(M60="",L60,WORKDAY(M60,1))))</f>
        <v>46240</v>
      </c>
      <c r="O60" s="47" t="n">
        <f aca="false">WORKDAY(N60,K60-1)</f>
        <v>46267</v>
      </c>
      <c r="P60" s="45" t="n">
        <f aca="false">MAX(0,NETWORKDAYS(L60,N60)-1)</f>
        <v>0</v>
      </c>
      <c r="Q60" s="45" t="str">
        <f aca="false">IF(P60&gt;0,"BOTTLENECK DELAY","")</f>
        <v/>
      </c>
    </row>
    <row r="61" customFormat="false" ht="15" hidden="false" customHeight="false" outlineLevel="0" collapsed="false">
      <c r="A61" s="0" t="n">
        <v>60</v>
      </c>
      <c r="B61" s="0" t="s">
        <v>105</v>
      </c>
      <c r="C61" s="44" t="n">
        <f aca="false">INDEX(Projects!$B$2:$B$100,MATCH(B61,Projects!$A$2:$A$100,0))</f>
        <v>46134</v>
      </c>
      <c r="D61" s="0" t="n">
        <v>16</v>
      </c>
      <c r="E61" s="0" t="s">
        <v>123</v>
      </c>
      <c r="F61" s="0" t="s">
        <v>21</v>
      </c>
      <c r="H61" s="0" t="s">
        <v>29</v>
      </c>
      <c r="I61" s="45" t="str">
        <f aca="false">B61&amp;"|"&amp;E61</f>
        <v>IW11|Stone</v>
      </c>
      <c r="J61" s="45" t="str">
        <f aca="false">IF(H61="","",B61&amp;"|"&amp;H61)</f>
        <v>IW11|Roofing</v>
      </c>
      <c r="K61" s="46" t="n">
        <v>20</v>
      </c>
      <c r="L61" s="47" t="n">
        <f aca="false">IF(H61="",C61,WORKDAY(INDEX($O$2:$O$2000,MATCH(J61,$I$2:$I$2000,0)),1))</f>
        <v>46240</v>
      </c>
      <c r="M61" s="47" t="str">
        <f aca="false">IF(G61="","",IFERROR(maxifs($O$2:O60,$G$2:G60,G61),""))</f>
        <v/>
      </c>
      <c r="N61" s="47" t="n">
        <f aca="false">IF(G61="",L61,MAX(L61,IF(M61="",L61,WORKDAY(M61,1))))</f>
        <v>46240</v>
      </c>
      <c r="O61" s="47" t="n">
        <f aca="false">WORKDAY(N61,K61-1)</f>
        <v>46267</v>
      </c>
      <c r="P61" s="45" t="n">
        <f aca="false">MAX(0,NETWORKDAYS(L61,N61)-1)</f>
        <v>0</v>
      </c>
      <c r="Q61" s="45" t="str">
        <f aca="false">IF(P61&gt;0,"BOTTLENECK DELAY","")</f>
        <v/>
      </c>
    </row>
    <row r="62" customFormat="false" ht="15" hidden="false" customHeight="false" outlineLevel="0" collapsed="false">
      <c r="A62" s="0" t="n">
        <v>61</v>
      </c>
      <c r="B62" s="0" t="s">
        <v>105</v>
      </c>
      <c r="C62" s="44" t="n">
        <f aca="false">INDEX(Projects!$B$2:$B$100,MATCH(B62,Projects!$A$2:$A$100,0))</f>
        <v>46134</v>
      </c>
      <c r="D62" s="0" t="n">
        <v>17</v>
      </c>
      <c r="E62" s="0" t="s">
        <v>27</v>
      </c>
      <c r="F62" s="0" t="s">
        <v>122</v>
      </c>
      <c r="H62" s="0" t="s">
        <v>29</v>
      </c>
      <c r="I62" s="45" t="str">
        <f aca="false">B62&amp;"|"&amp;E62</f>
        <v>IW11|Siding</v>
      </c>
      <c r="J62" s="45" t="str">
        <f aca="false">IF(H62="","",B62&amp;"|"&amp;H62)</f>
        <v>IW11|Roofing</v>
      </c>
      <c r="K62" s="46" t="n">
        <v>20</v>
      </c>
      <c r="L62" s="47" t="n">
        <f aca="false">IF(H62="",C62,WORKDAY(INDEX($O$2:$O$2000,MATCH(J62,$I$2:$I$2000,0)),1))</f>
        <v>46240</v>
      </c>
      <c r="M62" s="47" t="str">
        <f aca="false">IF(G62="","",IFERROR(maxifs($O$2:O61,$G$2:G61,G62),""))</f>
        <v/>
      </c>
      <c r="N62" s="47" t="n">
        <f aca="false">IF(G62="",L62,MAX(L62,IF(M62="",L62,WORKDAY(M62,1))))</f>
        <v>46240</v>
      </c>
      <c r="O62" s="47" t="n">
        <f aca="false">WORKDAY(N62,K62-1)</f>
        <v>46267</v>
      </c>
      <c r="P62" s="45" t="n">
        <f aca="false">MAX(0,NETWORKDAYS(L62,N62)-1)</f>
        <v>0</v>
      </c>
      <c r="Q62" s="45" t="str">
        <f aca="false">IF(P62&gt;0,"BOTTLENECK DELAY","")</f>
        <v/>
      </c>
    </row>
    <row r="63" customFormat="false" ht="15" hidden="false" customHeight="false" outlineLevel="0" collapsed="false">
      <c r="A63" s="0" t="n">
        <v>62</v>
      </c>
      <c r="B63" s="0" t="s">
        <v>105</v>
      </c>
      <c r="C63" s="44" t="n">
        <f aca="false">INDEX(Projects!$B$2:$B$100,MATCH(B63,Projects!$A$2:$A$100,0))</f>
        <v>46134</v>
      </c>
      <c r="D63" s="0" t="n">
        <v>18</v>
      </c>
      <c r="E63" s="0" t="s">
        <v>96</v>
      </c>
      <c r="H63" s="0" t="s">
        <v>23</v>
      </c>
      <c r="I63" s="45" t="str">
        <f aca="false">B63&amp;"|"&amp;E63</f>
        <v>IW11|Rough Grade</v>
      </c>
      <c r="J63" s="45" t="str">
        <f aca="false">IF(H63="","",B63&amp;"|"&amp;H63)</f>
        <v>IW11|Brick</v>
      </c>
      <c r="K63" s="46" t="n">
        <v>2</v>
      </c>
      <c r="L63" s="47" t="n">
        <f aca="false">IF(H63="",C63,WORKDAY(INDEX($O$2:$O$2000,MATCH(J63,$I$2:$I$2000,0)),1))</f>
        <v>46268</v>
      </c>
      <c r="M63" s="47" t="str">
        <f aca="false">IF(G63="","",IFERROR(maxifs($O$2:O62,$G$2:G62,G63),""))</f>
        <v/>
      </c>
      <c r="N63" s="47" t="n">
        <f aca="false">IF(G63="",L63,MAX(L63,IF(M63="",L63,WORKDAY(M63,1))))</f>
        <v>46268</v>
      </c>
      <c r="O63" s="47" t="n">
        <f aca="false">WORKDAY(N63,K63-1)</f>
        <v>46269</v>
      </c>
      <c r="P63" s="45" t="n">
        <f aca="false">MAX(0,NETWORKDAYS(L63,N63)-1)</f>
        <v>0</v>
      </c>
      <c r="Q63" s="45" t="str">
        <f aca="false">IF(P63&gt;0,"BOTTLENECK DELAY","")</f>
        <v/>
      </c>
    </row>
    <row r="64" customFormat="false" ht="15" hidden="false" customHeight="false" outlineLevel="0" collapsed="false">
      <c r="A64" s="0" t="n">
        <v>63</v>
      </c>
      <c r="B64" s="0" t="s">
        <v>105</v>
      </c>
      <c r="C64" s="44" t="n">
        <f aca="false">INDEX(Projects!$B$2:$B$100,MATCH(B64,Projects!$A$2:$A$100,0))</f>
        <v>46134</v>
      </c>
      <c r="D64" s="0" t="n">
        <v>19</v>
      </c>
      <c r="E64" s="0" t="s">
        <v>75</v>
      </c>
      <c r="F64" s="0" t="s">
        <v>124</v>
      </c>
      <c r="H64" s="0" t="s">
        <v>96</v>
      </c>
      <c r="I64" s="45" t="str">
        <f aca="false">B64&amp;"|"&amp;E64</f>
        <v>IW11|Irrigation</v>
      </c>
      <c r="J64" s="45" t="str">
        <f aca="false">IF(H64="","",B64&amp;"|"&amp;H64)</f>
        <v>IW11|Rough Grade</v>
      </c>
      <c r="K64" s="46" t="n">
        <v>2</v>
      </c>
      <c r="L64" s="47" t="n">
        <f aca="false">IF(H64="",C64,WORKDAY(INDEX($O$2:$O$2000,MATCH(J64,$I$2:$I$2000,0)),1))</f>
        <v>46272</v>
      </c>
      <c r="M64" s="47" t="str">
        <f aca="false">IF(G64="","",IFERROR(maxifs($O$2:O63,$G$2:G63,G64),""))</f>
        <v/>
      </c>
      <c r="N64" s="47" t="n">
        <f aca="false">IF(G64="",L64,MAX(L64,IF(M64="",L64,WORKDAY(M64,1))))</f>
        <v>46272</v>
      </c>
      <c r="O64" s="47" t="n">
        <f aca="false">WORKDAY(N64,K64-1)</f>
        <v>46273</v>
      </c>
      <c r="P64" s="45" t="n">
        <f aca="false">MAX(0,NETWORKDAYS(L64,N64)-1)</f>
        <v>0</v>
      </c>
      <c r="Q64" s="45" t="str">
        <f aca="false">IF(P64&gt;0,"BOTTLENECK DELAY","")</f>
        <v/>
      </c>
    </row>
    <row r="65" customFormat="false" ht="15" hidden="false" customHeight="false" outlineLevel="0" collapsed="false">
      <c r="A65" s="0" t="n">
        <v>64</v>
      </c>
      <c r="B65" s="0" t="s">
        <v>105</v>
      </c>
      <c r="C65" s="44" t="n">
        <f aca="false">INDEX(Projects!$B$2:$B$100,MATCH(B65,Projects!$A$2:$A$100,0))</f>
        <v>46134</v>
      </c>
      <c r="D65" s="0" t="n">
        <v>20</v>
      </c>
      <c r="E65" s="0" t="s">
        <v>71</v>
      </c>
      <c r="F65" s="0" t="s">
        <v>69</v>
      </c>
      <c r="H65" s="0" t="s">
        <v>75</v>
      </c>
      <c r="I65" s="45" t="str">
        <f aca="false">B65&amp;"|"&amp;E65</f>
        <v>IW11|Finish Grade</v>
      </c>
      <c r="J65" s="45" t="str">
        <f aca="false">IF(H65="","",B65&amp;"|"&amp;H65)</f>
        <v>IW11|Irrigation</v>
      </c>
      <c r="K65" s="46" t="n">
        <v>2</v>
      </c>
      <c r="L65" s="47" t="n">
        <f aca="false">IF(H65="",C65,WORKDAY(INDEX($O$2:$O$2000,MATCH(J65,$I$2:$I$2000,0)),1))</f>
        <v>46274</v>
      </c>
      <c r="M65" s="47" t="str">
        <f aca="false">IF(G65="","",IFERROR(maxifs($O$2:O64,$G$2:G64,G65),""))</f>
        <v/>
      </c>
      <c r="N65" s="47" t="n">
        <f aca="false">IF(G65="",L65,MAX(L65,IF(M65="",L65,WORKDAY(M65,1))))</f>
        <v>46274</v>
      </c>
      <c r="O65" s="47" t="n">
        <f aca="false">WORKDAY(N65,K65-1)</f>
        <v>46275</v>
      </c>
      <c r="P65" s="45" t="n">
        <f aca="false">MAX(0,NETWORKDAYS(L65,N65)-1)</f>
        <v>0</v>
      </c>
      <c r="Q65" s="45" t="str">
        <f aca="false">IF(P65&gt;0,"BOTTLENECK DELAY","")</f>
        <v/>
      </c>
    </row>
    <row r="66" customFormat="false" ht="15" hidden="false" customHeight="false" outlineLevel="0" collapsed="false">
      <c r="A66" s="0" t="n">
        <v>65</v>
      </c>
      <c r="B66" s="0" t="s">
        <v>105</v>
      </c>
      <c r="C66" s="44" t="n">
        <f aca="false">INDEX(Projects!$B$2:$B$100,MATCH(B66,Projects!$A$2:$A$100,0))</f>
        <v>46134</v>
      </c>
      <c r="D66" s="0" t="n">
        <v>21</v>
      </c>
      <c r="E66" s="0" t="s">
        <v>125</v>
      </c>
      <c r="F66" s="0" t="s">
        <v>69</v>
      </c>
      <c r="H66" s="0" t="s">
        <v>75</v>
      </c>
      <c r="I66" s="45" t="str">
        <f aca="false">B66&amp;"|"&amp;E66</f>
        <v>IW11|Landscaping</v>
      </c>
      <c r="J66" s="45" t="str">
        <f aca="false">IF(H66="","",B66&amp;"|"&amp;H66)</f>
        <v>IW11|Irrigation</v>
      </c>
      <c r="K66" s="46" t="n">
        <v>2</v>
      </c>
      <c r="L66" s="47" t="n">
        <f aca="false">IF(H66="",C66,WORKDAY(INDEX($O$2:$O$2000,MATCH(J66,$I$2:$I$2000,0)),1))</f>
        <v>46274</v>
      </c>
      <c r="M66" s="47" t="str">
        <f aca="false">IF(G66="","",IFERROR(maxifs($O$2:O65,$G$2:G65,G66),""))</f>
        <v/>
      </c>
      <c r="N66" s="47" t="n">
        <f aca="false">IF(G66="",L66,MAX(L66,IF(M66="",L66,WORKDAY(M66,1))))</f>
        <v>46274</v>
      </c>
      <c r="O66" s="47" t="n">
        <f aca="false">WORKDAY(N66,K66-1)</f>
        <v>46275</v>
      </c>
      <c r="P66" s="45" t="n">
        <f aca="false">MAX(0,NETWORKDAYS(L66,N66)-1)</f>
        <v>0</v>
      </c>
      <c r="Q66" s="45" t="str">
        <f aca="false">IF(P66&gt;0,"BOTTLENECK DELAY","")</f>
        <v/>
      </c>
    </row>
    <row r="67" customFormat="false" ht="15" hidden="false" customHeight="false" outlineLevel="0" collapsed="false">
      <c r="A67" s="0" t="n">
        <v>66</v>
      </c>
      <c r="B67" s="0" t="s">
        <v>105</v>
      </c>
      <c r="C67" s="44" t="n">
        <f aca="false">INDEX(Projects!$B$2:$B$100,MATCH(B67,Projects!$A$2:$A$100,0))</f>
        <v>46134</v>
      </c>
      <c r="D67" s="0" t="n">
        <v>22</v>
      </c>
      <c r="E67" s="0" t="s">
        <v>77</v>
      </c>
      <c r="F67" s="0" t="s">
        <v>76</v>
      </c>
      <c r="H67" s="0" t="s">
        <v>71</v>
      </c>
      <c r="I67" s="45" t="str">
        <f aca="false">B67&amp;"|"&amp;E67</f>
        <v>IW11|Lawn Seeding</v>
      </c>
      <c r="J67" s="45" t="str">
        <f aca="false">IF(H67="","",B67&amp;"|"&amp;H67)</f>
        <v>IW11|Finish Grade</v>
      </c>
      <c r="K67" s="46" t="n">
        <v>2</v>
      </c>
      <c r="L67" s="47" t="n">
        <f aca="false">IF(H67="",C67,WORKDAY(INDEX($O$2:$O$2000,MATCH(J67,$I$2:$I$2000,0)),1))</f>
        <v>46276</v>
      </c>
      <c r="M67" s="47" t="str">
        <f aca="false">IF(G67="","",IFERROR(maxifs($O$2:O66,$G$2:G66,G67),""))</f>
        <v/>
      </c>
      <c r="N67" s="47" t="n">
        <f aca="false">IF(G67="",L67,MAX(L67,IF(M67="",L67,WORKDAY(M67,1))))</f>
        <v>46276</v>
      </c>
      <c r="O67" s="47" t="n">
        <f aca="false">WORKDAY(N67,K67-1)</f>
        <v>46279</v>
      </c>
      <c r="P67" s="45" t="n">
        <f aca="false">MAX(0,NETWORKDAYS(L67,N67)-1)</f>
        <v>0</v>
      </c>
      <c r="Q67" s="45" t="str">
        <f aca="false">IF(P67&gt;0,"BOTTLENECK DELAY","")</f>
        <v/>
      </c>
    </row>
    <row r="68" customFormat="false" ht="15" hidden="false" customHeight="false" outlineLevel="0" collapsed="false">
      <c r="A68" s="0" t="n">
        <v>67</v>
      </c>
      <c r="B68" s="0" t="s">
        <v>105</v>
      </c>
      <c r="C68" s="44" t="n">
        <f aca="false">INDEX(Projects!$B$2:$B$100,MATCH(B68,Projects!$A$2:$A$100,0))</f>
        <v>46134</v>
      </c>
      <c r="D68" s="0" t="n">
        <v>23</v>
      </c>
      <c r="E68" s="0" t="s">
        <v>97</v>
      </c>
      <c r="H68" s="0" t="s">
        <v>96</v>
      </c>
      <c r="I68" s="45" t="str">
        <f aca="false">B68&amp;"|"&amp;E68</f>
        <v>IW11|Gutter drains</v>
      </c>
      <c r="J68" s="45" t="str">
        <f aca="false">IF(H68="","",B68&amp;"|"&amp;H68)</f>
        <v>IW11|Rough Grade</v>
      </c>
      <c r="K68" s="46" t="n">
        <v>2</v>
      </c>
      <c r="L68" s="47" t="n">
        <f aca="false">IF(H68="",C68,WORKDAY(INDEX($O$2:$O$2000,MATCH(J68,$I$2:$I$2000,0)),1))</f>
        <v>46272</v>
      </c>
      <c r="M68" s="47" t="str">
        <f aca="false">IF(G68="","",IFERROR(maxifs($O$2:O67,$G$2:G67,G68),""))</f>
        <v/>
      </c>
      <c r="N68" s="47" t="n">
        <f aca="false">IF(G68="",L68,MAX(L68,IF(M68="",L68,WORKDAY(M68,1))))</f>
        <v>46272</v>
      </c>
      <c r="O68" s="47" t="n">
        <f aca="false">WORKDAY(N68,K68-1)</f>
        <v>46273</v>
      </c>
      <c r="P68" s="45" t="n">
        <f aca="false">MAX(0,NETWORKDAYS(L68,N68)-1)</f>
        <v>0</v>
      </c>
      <c r="Q68" s="45" t="str">
        <f aca="false">IF(P68&gt;0,"BOTTLENECK DELAY","")</f>
        <v/>
      </c>
    </row>
    <row r="69" customFormat="false" ht="15" hidden="false" customHeight="false" outlineLevel="0" collapsed="false">
      <c r="A69" s="0" t="n">
        <v>68</v>
      </c>
      <c r="B69" s="0" t="s">
        <v>105</v>
      </c>
      <c r="C69" s="44" t="n">
        <f aca="false">INDEX(Projects!$B$2:$B$100,MATCH(B69,Projects!$A$2:$A$100,0))</f>
        <v>46134</v>
      </c>
      <c r="D69" s="0" t="n">
        <v>24</v>
      </c>
      <c r="E69" s="0" t="s">
        <v>37</v>
      </c>
      <c r="F69" s="0" t="s">
        <v>35</v>
      </c>
      <c r="H69" s="0" t="s">
        <v>26</v>
      </c>
      <c r="I69" s="45" t="str">
        <f aca="false">B69&amp;"|"&amp;E69</f>
        <v>IW11|HVAC Rough</v>
      </c>
      <c r="J69" s="45" t="str">
        <f aca="false">IF(H69="","",B69&amp;"|"&amp;H69)</f>
        <v>IW11|Framing</v>
      </c>
      <c r="K69" s="46" t="n">
        <v>5</v>
      </c>
      <c r="L69" s="47" t="n">
        <f aca="false">IF(H69="",C69,WORKDAY(INDEX($O$2:$O$2000,MATCH(J69,$I$2:$I$2000,0)),1))</f>
        <v>46234</v>
      </c>
      <c r="M69" s="47" t="str">
        <f aca="false">IF(G69="","",IFERROR(maxifs($O$2:O68,$G$2:G68,G69),""))</f>
        <v/>
      </c>
      <c r="N69" s="47" t="n">
        <f aca="false">IF(G69="",L69,MAX(L69,IF(M69="",L69,WORKDAY(M69,1))))</f>
        <v>46234</v>
      </c>
      <c r="O69" s="47" t="n">
        <f aca="false">WORKDAY(N69,K69-1)</f>
        <v>46240</v>
      </c>
      <c r="P69" s="45" t="n">
        <f aca="false">MAX(0,NETWORKDAYS(L69,N69)-1)</f>
        <v>0</v>
      </c>
      <c r="Q69" s="45" t="str">
        <f aca="false">IF(P69&gt;0,"BOTTLENECK DELAY","")</f>
        <v/>
      </c>
    </row>
    <row r="70" customFormat="false" ht="15" hidden="false" customHeight="false" outlineLevel="0" collapsed="false">
      <c r="A70" s="0" t="n">
        <v>69</v>
      </c>
      <c r="B70" s="0" t="s">
        <v>105</v>
      </c>
      <c r="C70" s="44" t="n">
        <f aca="false">INDEX(Projects!$B$2:$B$100,MATCH(B70,Projects!$A$2:$A$100,0))</f>
        <v>46134</v>
      </c>
      <c r="D70" s="0" t="n">
        <v>25</v>
      </c>
      <c r="E70" s="0" t="s">
        <v>41</v>
      </c>
      <c r="F70" s="0" t="s">
        <v>39</v>
      </c>
      <c r="G70" s="0" t="s">
        <v>39</v>
      </c>
      <c r="H70" s="0" t="s">
        <v>26</v>
      </c>
      <c r="I70" s="45" t="str">
        <f aca="false">B70&amp;"|"&amp;E70</f>
        <v>IW11|Plumbing Rough</v>
      </c>
      <c r="J70" s="45" t="str">
        <f aca="false">IF(H70="","",B70&amp;"|"&amp;H70)</f>
        <v>IW11|Framing</v>
      </c>
      <c r="K70" s="46" t="n">
        <v>5</v>
      </c>
      <c r="L70" s="47" t="n">
        <f aca="false">IF(H70="",C70,WORKDAY(INDEX($O$2:$O$2000,MATCH(J70,$I$2:$I$2000,0)),1))</f>
        <v>46234</v>
      </c>
      <c r="M70" s="47" t="str">
        <f aca="false">IF(G70="","",IFERROR(maxifs($O$2:O69,$G$2:G69,G70),""))</f>
        <v/>
      </c>
      <c r="N70" s="47" t="n">
        <f aca="false">IF(G70="",L70,MAX(L70,IF(M70="",L70,WORKDAY(M70,1))))</f>
        <v>46234</v>
      </c>
      <c r="O70" s="47" t="n">
        <f aca="false">WORKDAY(N70,K70-1)</f>
        <v>46240</v>
      </c>
      <c r="P70" s="45" t="n">
        <f aca="false">MAX(0,NETWORKDAYS(L70,N70)-1)</f>
        <v>0</v>
      </c>
      <c r="Q70" s="45" t="str">
        <f aca="false">IF(P70&gt;0,"BOTTLENECK DELAY","")</f>
        <v/>
      </c>
    </row>
    <row r="71" customFormat="false" ht="15" hidden="false" customHeight="false" outlineLevel="0" collapsed="false">
      <c r="A71" s="0" t="n">
        <v>70</v>
      </c>
      <c r="B71" s="0" t="s">
        <v>105</v>
      </c>
      <c r="C71" s="44" t="n">
        <f aca="false">INDEX(Projects!$B$2:$B$100,MATCH(B71,Projects!$A$2:$A$100,0))</f>
        <v>46134</v>
      </c>
      <c r="D71" s="0" t="n">
        <v>26</v>
      </c>
      <c r="E71" s="0" t="s">
        <v>32</v>
      </c>
      <c r="F71" s="0" t="s">
        <v>30</v>
      </c>
      <c r="H71" s="0" t="s">
        <v>26</v>
      </c>
      <c r="I71" s="45" t="str">
        <f aca="false">B71&amp;"|"&amp;E71</f>
        <v>IW11|Electrical Rough</v>
      </c>
      <c r="J71" s="45" t="str">
        <f aca="false">IF(H71="","",B71&amp;"|"&amp;H71)</f>
        <v>IW11|Framing</v>
      </c>
      <c r="K71" s="46" t="n">
        <v>10</v>
      </c>
      <c r="L71" s="47" t="n">
        <f aca="false">IF(H71="",C71,WORKDAY(INDEX($O$2:$O$2000,MATCH(J71,$I$2:$I$2000,0)),1))</f>
        <v>46234</v>
      </c>
      <c r="M71" s="47" t="str">
        <f aca="false">IF(G71="","",IFERROR(maxifs($O$2:O70,$G$2:G70,G71),""))</f>
        <v/>
      </c>
      <c r="N71" s="47" t="n">
        <f aca="false">IF(G71="",L71,MAX(L71,IF(M71="",L71,WORKDAY(M71,1))))</f>
        <v>46234</v>
      </c>
      <c r="O71" s="47" t="n">
        <f aca="false">WORKDAY(N71,K71-1)</f>
        <v>46247</v>
      </c>
      <c r="P71" s="45" t="n">
        <f aca="false">MAX(0,NETWORKDAYS(L71,N71)-1)</f>
        <v>0</v>
      </c>
      <c r="Q71" s="45" t="str">
        <f aca="false">IF(P71&gt;0,"BOTTLENECK DELAY","")</f>
        <v/>
      </c>
    </row>
    <row r="72" customFormat="false" ht="15" hidden="false" customHeight="false" outlineLevel="0" collapsed="false">
      <c r="A72" s="0" t="n">
        <v>71</v>
      </c>
      <c r="B72" s="0" t="s">
        <v>105</v>
      </c>
      <c r="C72" s="44" t="n">
        <f aca="false">INDEX(Projects!$B$2:$B$100,MATCH(B72,Projects!$A$2:$A$100,0))</f>
        <v>46134</v>
      </c>
      <c r="D72" s="0" t="n">
        <v>27</v>
      </c>
      <c r="E72" s="0" t="s">
        <v>48</v>
      </c>
      <c r="F72" s="0" t="s">
        <v>46</v>
      </c>
      <c r="H72" s="0" t="s">
        <v>32</v>
      </c>
      <c r="I72" s="45" t="str">
        <f aca="false">B72&amp;"|"&amp;E72</f>
        <v>IW11|Insulation Walls</v>
      </c>
      <c r="J72" s="45" t="str">
        <f aca="false">IF(H72="","",B72&amp;"|"&amp;H72)</f>
        <v>IW11|Electrical Rough</v>
      </c>
      <c r="K72" s="46" t="n">
        <v>2</v>
      </c>
      <c r="L72" s="47" t="n">
        <f aca="false">IF(H72="",C72,WORKDAY(INDEX($O$2:$O$2000,MATCH(J72,$I$2:$I$2000,0)),1))</f>
        <v>46248</v>
      </c>
      <c r="M72" s="47" t="str">
        <f aca="false">IF(G72="","",IFERROR(maxifs($O$2:O71,$G$2:G71,G72),""))</f>
        <v/>
      </c>
      <c r="N72" s="47" t="n">
        <f aca="false">IF(G72="",L72,MAX(L72,IF(M72="",L72,WORKDAY(M72,1))))</f>
        <v>46248</v>
      </c>
      <c r="O72" s="47" t="n">
        <f aca="false">WORKDAY(N72,K72-1)</f>
        <v>46251</v>
      </c>
      <c r="P72" s="45" t="n">
        <f aca="false">MAX(0,NETWORKDAYS(L72,N72)-1)</f>
        <v>0</v>
      </c>
      <c r="Q72" s="45" t="str">
        <f aca="false">IF(P72&gt;0,"BOTTLENECK DELAY","")</f>
        <v/>
      </c>
    </row>
    <row r="73" customFormat="false" ht="15" hidden="false" customHeight="false" outlineLevel="0" collapsed="false">
      <c r="A73" s="0" t="n">
        <v>72</v>
      </c>
      <c r="B73" s="0" t="s">
        <v>105</v>
      </c>
      <c r="C73" s="44" t="n">
        <f aca="false">INDEX(Projects!$B$2:$B$100,MATCH(B73,Projects!$A$2:$A$100,0))</f>
        <v>46134</v>
      </c>
      <c r="D73" s="0" t="n">
        <v>28</v>
      </c>
      <c r="E73" s="0" t="s">
        <v>51</v>
      </c>
      <c r="F73" s="0" t="s">
        <v>50</v>
      </c>
      <c r="H73" s="0" t="s">
        <v>48</v>
      </c>
      <c r="I73" s="45" t="str">
        <f aca="false">B73&amp;"|"&amp;E73</f>
        <v>IW11|Sheetrock</v>
      </c>
      <c r="J73" s="45" t="str">
        <f aca="false">IF(H73="","",B73&amp;"|"&amp;H73)</f>
        <v>IW11|Insulation Walls</v>
      </c>
      <c r="K73" s="46" t="n">
        <v>15</v>
      </c>
      <c r="L73" s="47" t="n">
        <f aca="false">IF(H73="",C73,WORKDAY(INDEX($O$2:$O$2000,MATCH(J73,$I$2:$I$2000,0)),1))</f>
        <v>46252</v>
      </c>
      <c r="M73" s="47" t="str">
        <f aca="false">IF(G73="","",IFERROR(maxifs($O$2:O72,$G$2:G72,G73),""))</f>
        <v/>
      </c>
      <c r="N73" s="47" t="n">
        <f aca="false">IF(G73="",L73,MAX(L73,IF(M73="",L73,WORKDAY(M73,1))))</f>
        <v>46252</v>
      </c>
      <c r="O73" s="47" t="n">
        <f aca="false">WORKDAY(N73,K73-1)</f>
        <v>46272</v>
      </c>
      <c r="P73" s="45" t="n">
        <f aca="false">MAX(0,NETWORKDAYS(L73,N73)-1)</f>
        <v>0</v>
      </c>
      <c r="Q73" s="45" t="str">
        <f aca="false">IF(P73&gt;0,"BOTTLENECK DELAY","")</f>
        <v/>
      </c>
    </row>
    <row r="74" customFormat="false" ht="15" hidden="false" customHeight="false" outlineLevel="0" collapsed="false">
      <c r="A74" s="0" t="n">
        <v>73</v>
      </c>
      <c r="B74" s="0" t="s">
        <v>105</v>
      </c>
      <c r="C74" s="44" t="n">
        <f aca="false">INDEX(Projects!$B$2:$B$100,MATCH(B74,Projects!$A$2:$A$100,0))</f>
        <v>46134</v>
      </c>
      <c r="D74" s="0" t="n">
        <v>29</v>
      </c>
      <c r="E74" s="0" t="s">
        <v>60</v>
      </c>
      <c r="F74" s="0" t="s">
        <v>59</v>
      </c>
      <c r="H74" s="0" t="s">
        <v>51</v>
      </c>
      <c r="I74" s="45" t="str">
        <f aca="false">B74&amp;"|"&amp;E74</f>
        <v>IW11|Painting Primer</v>
      </c>
      <c r="J74" s="45" t="str">
        <f aca="false">IF(H74="","",B74&amp;"|"&amp;H74)</f>
        <v>IW11|Sheetrock</v>
      </c>
      <c r="K74" s="46" t="n">
        <v>3</v>
      </c>
      <c r="L74" s="47" t="n">
        <f aca="false">IF(H74="",C74,WORKDAY(INDEX($O$2:$O$2000,MATCH(J74,$I$2:$I$2000,0)),1))</f>
        <v>46273</v>
      </c>
      <c r="M74" s="47" t="str">
        <f aca="false">IF(G74="","",IFERROR(maxifs($O$2:O73,$G$2:G73,G74),""))</f>
        <v/>
      </c>
      <c r="N74" s="47" t="n">
        <f aca="false">IF(G74="",L74,MAX(L74,IF(M74="",L74,WORKDAY(M74,1))))</f>
        <v>46273</v>
      </c>
      <c r="O74" s="47" t="n">
        <f aca="false">WORKDAY(N74,K74-1)</f>
        <v>46275</v>
      </c>
      <c r="P74" s="45" t="n">
        <f aca="false">MAX(0,NETWORKDAYS(L74,N74)-1)</f>
        <v>0</v>
      </c>
      <c r="Q74" s="45" t="str">
        <f aca="false">IF(P74&gt;0,"BOTTLENECK DELAY","")</f>
        <v/>
      </c>
    </row>
    <row r="75" customFormat="false" ht="15" hidden="false" customHeight="false" outlineLevel="0" collapsed="false">
      <c r="A75" s="0" t="n">
        <v>74</v>
      </c>
      <c r="B75" s="0" t="s">
        <v>105</v>
      </c>
      <c r="C75" s="44" t="n">
        <f aca="false">INDEX(Projects!$B$2:$B$100,MATCH(B75,Projects!$A$2:$A$100,0))</f>
        <v>46134</v>
      </c>
      <c r="D75" s="0" t="n">
        <v>30</v>
      </c>
      <c r="E75" s="0" t="s">
        <v>53</v>
      </c>
      <c r="F75" s="0" t="s">
        <v>52</v>
      </c>
      <c r="H75" s="0" t="s">
        <v>60</v>
      </c>
      <c r="I75" s="45" t="str">
        <f aca="false">B75&amp;"|"&amp;E75</f>
        <v>IW11|Garage Doors</v>
      </c>
      <c r="J75" s="45" t="str">
        <f aca="false">IF(H75="","",B75&amp;"|"&amp;H75)</f>
        <v>IW11|Painting Primer</v>
      </c>
      <c r="K75" s="46" t="n">
        <v>2</v>
      </c>
      <c r="L75" s="47" t="n">
        <f aca="false">IF(H75="",C75,WORKDAY(INDEX($O$2:$O$2000,MATCH(J75,$I$2:$I$2000,0)),1))</f>
        <v>46276</v>
      </c>
      <c r="M75" s="47" t="str">
        <f aca="false">IF(G75="","",IFERROR(maxifs($O$2:O74,$G$2:G74,G75),""))</f>
        <v/>
      </c>
      <c r="N75" s="47" t="n">
        <f aca="false">IF(G75="",L75,MAX(L75,IF(M75="",L75,WORKDAY(M75,1))))</f>
        <v>46276</v>
      </c>
      <c r="O75" s="47" t="n">
        <f aca="false">WORKDAY(N75,K75-1)</f>
        <v>46279</v>
      </c>
      <c r="P75" s="45" t="n">
        <f aca="false">MAX(0,NETWORKDAYS(L75,N75)-1)</f>
        <v>0</v>
      </c>
      <c r="Q75" s="45" t="str">
        <f aca="false">IF(P75&gt;0,"BOTTLENECK DELAY","")</f>
        <v/>
      </c>
    </row>
    <row r="76" customFormat="false" ht="15" hidden="false" customHeight="false" outlineLevel="0" collapsed="false">
      <c r="A76" s="0" t="n">
        <v>75</v>
      </c>
      <c r="B76" s="0" t="s">
        <v>105</v>
      </c>
      <c r="C76" s="44" t="n">
        <f aca="false">INDEX(Projects!$B$2:$B$100,MATCH(B76,Projects!$A$2:$A$100,0))</f>
        <v>46134</v>
      </c>
      <c r="D76" s="0" t="n">
        <v>31</v>
      </c>
      <c r="E76" s="0" t="s">
        <v>44</v>
      </c>
      <c r="F76" s="0" t="s">
        <v>43</v>
      </c>
      <c r="H76" s="0" t="s">
        <v>60</v>
      </c>
      <c r="I76" s="45" t="str">
        <f aca="false">B76&amp;"|"&amp;E76</f>
        <v>IW11|Flooring</v>
      </c>
      <c r="J76" s="45" t="str">
        <f aca="false">IF(H76="","",B76&amp;"|"&amp;H76)</f>
        <v>IW11|Painting Primer</v>
      </c>
      <c r="K76" s="46" t="n">
        <v>5</v>
      </c>
      <c r="L76" s="47" t="n">
        <f aca="false">IF(H76="",C76,WORKDAY(INDEX($O$2:$O$2000,MATCH(J76,$I$2:$I$2000,0)),1))</f>
        <v>46276</v>
      </c>
      <c r="M76" s="47" t="str">
        <f aca="false">IF(G76="","",IFERROR(maxifs($O$2:O75,$G$2:G75,G76),""))</f>
        <v/>
      </c>
      <c r="N76" s="47" t="n">
        <f aca="false">IF(G76="",L76,MAX(L76,IF(M76="",L76,WORKDAY(M76,1))))</f>
        <v>46276</v>
      </c>
      <c r="O76" s="47" t="n">
        <f aca="false">WORKDAY(N76,K76-1)</f>
        <v>46282</v>
      </c>
      <c r="P76" s="45" t="n">
        <f aca="false">MAX(0,NETWORKDAYS(L76,N76)-1)</f>
        <v>0</v>
      </c>
      <c r="Q76" s="45" t="str">
        <f aca="false">IF(P76&gt;0,"BOTTLENECK DELAY","")</f>
        <v/>
      </c>
    </row>
    <row r="77" customFormat="false" ht="15" hidden="false" customHeight="false" outlineLevel="0" collapsed="false">
      <c r="A77" s="0" t="n">
        <v>76</v>
      </c>
      <c r="B77" s="0" t="s">
        <v>105</v>
      </c>
      <c r="C77" s="44" t="n">
        <f aca="false">INDEX(Projects!$B$2:$B$100,MATCH(B77,Projects!$A$2:$A$100,0))</f>
        <v>46134</v>
      </c>
      <c r="D77" s="0" t="n">
        <v>32</v>
      </c>
      <c r="E77" s="0" t="s">
        <v>45</v>
      </c>
      <c r="F77" s="0" t="s">
        <v>43</v>
      </c>
      <c r="H77" s="0" t="s">
        <v>60</v>
      </c>
      <c r="I77" s="45" t="str">
        <f aca="false">B77&amp;"|"&amp;E77</f>
        <v>IW11|Tile Work</v>
      </c>
      <c r="J77" s="45" t="str">
        <f aca="false">IF(H77="","",B77&amp;"|"&amp;H77)</f>
        <v>IW11|Painting Primer</v>
      </c>
      <c r="K77" s="46" t="n">
        <v>8</v>
      </c>
      <c r="L77" s="47" t="n">
        <f aca="false">IF(H77="",C77,WORKDAY(INDEX($O$2:$O$2000,MATCH(J77,$I$2:$I$2000,0)),1))</f>
        <v>46276</v>
      </c>
      <c r="M77" s="47" t="str">
        <f aca="false">IF(G77="","",IFERROR(maxifs($O$2:O76,$G$2:G76,G77),""))</f>
        <v/>
      </c>
      <c r="N77" s="47" t="n">
        <f aca="false">IF(G77="",L77,MAX(L77,IF(M77="",L77,WORKDAY(M77,1))))</f>
        <v>46276</v>
      </c>
      <c r="O77" s="47" t="n">
        <f aca="false">WORKDAY(N77,K77-1)</f>
        <v>46287</v>
      </c>
      <c r="P77" s="45" t="n">
        <f aca="false">MAX(0,NETWORKDAYS(L77,N77)-1)</f>
        <v>0</v>
      </c>
      <c r="Q77" s="45" t="str">
        <f aca="false">IF(P77&gt;0,"BOTTLENECK DELAY","")</f>
        <v/>
      </c>
    </row>
    <row r="78" customFormat="false" ht="15" hidden="false" customHeight="false" outlineLevel="0" collapsed="false">
      <c r="A78" s="0" t="n">
        <v>77</v>
      </c>
      <c r="B78" s="0" t="s">
        <v>105</v>
      </c>
      <c r="C78" s="44" t="n">
        <f aca="false">INDEX(Projects!$B$2:$B$100,MATCH(B78,Projects!$A$2:$A$100,0))</f>
        <v>46134</v>
      </c>
      <c r="D78" s="0" t="n">
        <v>33</v>
      </c>
      <c r="E78" s="0" t="s">
        <v>126</v>
      </c>
      <c r="F78" s="0" t="s">
        <v>56</v>
      </c>
      <c r="G78" s="0" t="s">
        <v>56</v>
      </c>
      <c r="H78" s="0" t="s">
        <v>44</v>
      </c>
      <c r="I78" s="45" t="str">
        <f aca="false">B78&amp;"|"&amp;E78</f>
        <v>IW11|Trim Interior</v>
      </c>
      <c r="J78" s="45" t="str">
        <f aca="false">IF(H78="","",B78&amp;"|"&amp;H78)</f>
        <v>IW11|Flooring</v>
      </c>
      <c r="K78" s="46" t="n">
        <v>20</v>
      </c>
      <c r="L78" s="47" t="n">
        <f aca="false">IF(H78="",C78,WORKDAY(INDEX($O$2:$O$2000,MATCH(J78,$I$2:$I$2000,0)),1))</f>
        <v>46283</v>
      </c>
      <c r="M78" s="47" t="str">
        <f aca="false">IF(G78="","",IFERROR(maxifs($O$2:O77,$G$2:G77,G78),""))</f>
        <v/>
      </c>
      <c r="N78" s="47" t="n">
        <f aca="false">IF(G78="",L78,MAX(L78,IF(M78="",L78,WORKDAY(M78,1))))</f>
        <v>46283</v>
      </c>
      <c r="O78" s="47" t="n">
        <f aca="false">WORKDAY(N78,K78-1)</f>
        <v>46310</v>
      </c>
      <c r="P78" s="45" t="n">
        <f aca="false">MAX(0,NETWORKDAYS(L78,N78)-1)</f>
        <v>0</v>
      </c>
      <c r="Q78" s="45" t="str">
        <f aca="false">IF(P78&gt;0,"BOTTLENECK DELAY","")</f>
        <v/>
      </c>
    </row>
    <row r="79" customFormat="false" ht="15" hidden="false" customHeight="false" outlineLevel="0" collapsed="false">
      <c r="A79" s="0" t="n">
        <v>78</v>
      </c>
      <c r="B79" s="0" t="s">
        <v>105</v>
      </c>
      <c r="C79" s="44" t="n">
        <f aca="false">INDEX(Projects!$B$2:$B$100,MATCH(B79,Projects!$A$2:$A$100,0))</f>
        <v>46134</v>
      </c>
      <c r="D79" s="0" t="n">
        <v>34</v>
      </c>
      <c r="E79" s="0" t="s">
        <v>58</v>
      </c>
      <c r="F79" s="0" t="s">
        <v>56</v>
      </c>
      <c r="G79" s="0" t="s">
        <v>56</v>
      </c>
      <c r="H79" s="0" t="s">
        <v>27</v>
      </c>
      <c r="I79" s="45" t="str">
        <f aca="false">B79&amp;"|"&amp;E79</f>
        <v>IW11|Trim Exterior</v>
      </c>
      <c r="J79" s="45" t="str">
        <f aca="false">IF(H79="","",B79&amp;"|"&amp;H79)</f>
        <v>IW11|Siding</v>
      </c>
      <c r="K79" s="46" t="n">
        <v>2</v>
      </c>
      <c r="L79" s="47" t="n">
        <f aca="false">IF(H79="",C79,WORKDAY(INDEX($O$2:$O$2000,MATCH(J79,$I$2:$I$2000,0)),1))</f>
        <v>46268</v>
      </c>
      <c r="M79" s="47" t="str">
        <f aca="false">IF(G79="","",IFERROR(maxifs($O$2:O78,$G$2:G78,G79),""))</f>
        <v/>
      </c>
      <c r="N79" s="47" t="n">
        <f aca="false">IF(G79="",L79,MAX(L79,IF(M79="",L79,WORKDAY(M79,1))))</f>
        <v>46268</v>
      </c>
      <c r="O79" s="47" t="n">
        <f aca="false">WORKDAY(N79,K79-1)</f>
        <v>46269</v>
      </c>
      <c r="P79" s="45" t="n">
        <f aca="false">MAX(0,NETWORKDAYS(L79,N79)-1)</f>
        <v>0</v>
      </c>
      <c r="Q79" s="45" t="str">
        <f aca="false">IF(P79&gt;0,"BOTTLENECK DELAY","")</f>
        <v/>
      </c>
    </row>
    <row r="80" customFormat="false" ht="15" hidden="false" customHeight="false" outlineLevel="0" collapsed="false">
      <c r="A80" s="0" t="n">
        <v>79</v>
      </c>
      <c r="B80" s="0" t="s">
        <v>105</v>
      </c>
      <c r="C80" s="44" t="n">
        <f aca="false">INDEX(Projects!$B$2:$B$100,MATCH(B80,Projects!$A$2:$A$100,0))</f>
        <v>46134</v>
      </c>
      <c r="D80" s="0" t="n">
        <v>35</v>
      </c>
      <c r="E80" s="0" t="s">
        <v>64</v>
      </c>
      <c r="F80" s="0" t="s">
        <v>63</v>
      </c>
      <c r="H80" s="0" t="s">
        <v>44</v>
      </c>
      <c r="I80" s="45" t="str">
        <f aca="false">B80&amp;"|"&amp;E80</f>
        <v>IW11|Cabinets</v>
      </c>
      <c r="J80" s="45" t="str">
        <f aca="false">IF(H80="","",B80&amp;"|"&amp;H80)</f>
        <v>IW11|Flooring</v>
      </c>
      <c r="K80" s="46" t="n">
        <v>3</v>
      </c>
      <c r="L80" s="47" t="n">
        <f aca="false">IF(H80="",C80,WORKDAY(INDEX($O$2:$O$2000,MATCH(J80,$I$2:$I$2000,0)),1))</f>
        <v>46283</v>
      </c>
      <c r="M80" s="47" t="str">
        <f aca="false">IF(G80="","",IFERROR(maxifs($O$2:O79,$G$2:G79,G80),""))</f>
        <v/>
      </c>
      <c r="N80" s="47" t="n">
        <f aca="false">IF(G80="",L80,MAX(L80,IF(M80="",L80,WORKDAY(M80,1))))</f>
        <v>46283</v>
      </c>
      <c r="O80" s="47" t="n">
        <f aca="false">WORKDAY(N80,K80-1)</f>
        <v>46287</v>
      </c>
      <c r="P80" s="45" t="n">
        <f aca="false">MAX(0,NETWORKDAYS(L80,N80)-1)</f>
        <v>0</v>
      </c>
      <c r="Q80" s="45" t="str">
        <f aca="false">IF(P80&gt;0,"BOTTLENECK DELAY","")</f>
        <v/>
      </c>
    </row>
    <row r="81" customFormat="false" ht="15" hidden="false" customHeight="false" outlineLevel="0" collapsed="false">
      <c r="A81" s="0" t="n">
        <v>80</v>
      </c>
      <c r="B81" s="0" t="s">
        <v>105</v>
      </c>
      <c r="C81" s="44" t="n">
        <f aca="false">INDEX(Projects!$B$2:$B$100,MATCH(B81,Projects!$A$2:$A$100,0))</f>
        <v>46134</v>
      </c>
      <c r="D81" s="0" t="n">
        <v>36</v>
      </c>
      <c r="E81" s="0" t="s">
        <v>66</v>
      </c>
      <c r="F81" s="0" t="s">
        <v>65</v>
      </c>
      <c r="H81" s="0" t="s">
        <v>64</v>
      </c>
      <c r="I81" s="45" t="str">
        <f aca="false">B81&amp;"|"&amp;E81</f>
        <v>IW11|Countertops</v>
      </c>
      <c r="J81" s="45" t="str">
        <f aca="false">IF(H81="","",B81&amp;"|"&amp;H81)</f>
        <v>IW11|Cabinets</v>
      </c>
      <c r="K81" s="46" t="n">
        <v>2</v>
      </c>
      <c r="L81" s="47" t="n">
        <f aca="false">IF(H81="",C81,WORKDAY(INDEX($O$2:$O$2000,MATCH(J81,$I$2:$I$2000,0)),1))</f>
        <v>46288</v>
      </c>
      <c r="M81" s="47" t="str">
        <f aca="false">IF(G81="","",IFERROR(maxifs($O$2:O80,$G$2:G80,G81),""))</f>
        <v/>
      </c>
      <c r="N81" s="47" t="n">
        <f aca="false">IF(G81="",L81,MAX(L81,IF(M81="",L81,WORKDAY(M81,1))))</f>
        <v>46288</v>
      </c>
      <c r="O81" s="47" t="n">
        <f aca="false">WORKDAY(N81,K81-1)</f>
        <v>46289</v>
      </c>
      <c r="P81" s="45" t="n">
        <f aca="false">MAX(0,NETWORKDAYS(L81,N81)-1)</f>
        <v>0</v>
      </c>
      <c r="Q81" s="45" t="str">
        <f aca="false">IF(P81&gt;0,"BOTTLENECK DELAY","")</f>
        <v/>
      </c>
    </row>
    <row r="82" customFormat="false" ht="15" hidden="false" customHeight="false" outlineLevel="0" collapsed="false">
      <c r="A82" s="0" t="n">
        <v>81</v>
      </c>
      <c r="B82" s="0" t="s">
        <v>105</v>
      </c>
      <c r="C82" s="44" t="n">
        <f aca="false">INDEX(Projects!$B$2:$B$100,MATCH(B82,Projects!$A$2:$A$100,0))</f>
        <v>46134</v>
      </c>
      <c r="D82" s="0" t="n">
        <v>37</v>
      </c>
      <c r="E82" s="0" t="s">
        <v>61</v>
      </c>
      <c r="F82" s="0" t="s">
        <v>59</v>
      </c>
      <c r="H82" s="0" t="s">
        <v>66</v>
      </c>
      <c r="I82" s="45" t="str">
        <f aca="false">B82&amp;"|"&amp;E82</f>
        <v>IW11|Painting Main</v>
      </c>
      <c r="J82" s="45" t="str">
        <f aca="false">IF(H82="","",B82&amp;"|"&amp;H82)</f>
        <v>IW11|Countertops</v>
      </c>
      <c r="K82" s="46" t="n">
        <v>10</v>
      </c>
      <c r="L82" s="47" t="n">
        <f aca="false">IF(H82="",C82,WORKDAY(INDEX($O$2:$O$2000,MATCH(J82,$I$2:$I$2000,0)),1))</f>
        <v>46290</v>
      </c>
      <c r="M82" s="47" t="str">
        <f aca="false">IF(G82="","",IFERROR(maxifs($O$2:O81,$G$2:G81,G82),""))</f>
        <v/>
      </c>
      <c r="N82" s="47" t="n">
        <f aca="false">IF(G82="",L82,MAX(L82,IF(M82="",L82,WORKDAY(M82,1))))</f>
        <v>46290</v>
      </c>
      <c r="O82" s="47" t="n">
        <f aca="false">WORKDAY(N82,K82-1)</f>
        <v>46303</v>
      </c>
      <c r="P82" s="45" t="n">
        <f aca="false">MAX(0,NETWORKDAYS(L82,N82)-1)</f>
        <v>0</v>
      </c>
      <c r="Q82" s="45" t="str">
        <f aca="false">IF(P82&gt;0,"BOTTLENECK DELAY","")</f>
        <v/>
      </c>
    </row>
    <row r="83" customFormat="false" ht="15" hidden="false" customHeight="false" outlineLevel="0" collapsed="false">
      <c r="A83" s="0" t="n">
        <v>82</v>
      </c>
      <c r="B83" s="0" t="s">
        <v>105</v>
      </c>
      <c r="C83" s="44" t="n">
        <f aca="false">INDEX(Projects!$B$2:$B$100,MATCH(B83,Projects!$A$2:$A$100,0))</f>
        <v>46134</v>
      </c>
      <c r="D83" s="0" t="n">
        <v>38</v>
      </c>
      <c r="E83" s="0" t="s">
        <v>34</v>
      </c>
      <c r="F83" s="0" t="s">
        <v>30</v>
      </c>
      <c r="H83" s="0" t="s">
        <v>66</v>
      </c>
      <c r="I83" s="45" t="str">
        <f aca="false">B83&amp;"|"&amp;E83</f>
        <v>IW11|Appliances</v>
      </c>
      <c r="J83" s="45" t="str">
        <f aca="false">IF(H83="","",B83&amp;"|"&amp;H83)</f>
        <v>IW11|Countertops</v>
      </c>
      <c r="K83" s="46" t="n">
        <v>2</v>
      </c>
      <c r="L83" s="47" t="n">
        <f aca="false">IF(H83="",C83,WORKDAY(INDEX($O$2:$O$2000,MATCH(J83,$I$2:$I$2000,0)),1))</f>
        <v>46290</v>
      </c>
      <c r="M83" s="47" t="str">
        <f aca="false">IF(G83="","",IFERROR(maxifs($O$2:O82,$G$2:G82,G83),""))</f>
        <v/>
      </c>
      <c r="N83" s="47" t="n">
        <f aca="false">IF(G83="",L83,MAX(L83,IF(M83="",L83,WORKDAY(M83,1))))</f>
        <v>46290</v>
      </c>
      <c r="O83" s="47" t="n">
        <f aca="false">WORKDAY(N83,K83-1)</f>
        <v>46293</v>
      </c>
      <c r="P83" s="45" t="n">
        <f aca="false">MAX(0,NETWORKDAYS(L83,N83)-1)</f>
        <v>0</v>
      </c>
      <c r="Q83" s="45" t="str">
        <f aca="false">IF(P83&gt;0,"BOTTLENECK DELAY","")</f>
        <v/>
      </c>
    </row>
    <row r="84" customFormat="false" ht="15" hidden="false" customHeight="false" outlineLevel="0" collapsed="false">
      <c r="A84" s="0" t="n">
        <v>83</v>
      </c>
      <c r="B84" s="0" t="s">
        <v>105</v>
      </c>
      <c r="C84" s="44" t="n">
        <f aca="false">INDEX(Projects!$B$2:$B$100,MATCH(B84,Projects!$A$2:$A$100,0))</f>
        <v>46134</v>
      </c>
      <c r="D84" s="0" t="n">
        <v>39</v>
      </c>
      <c r="E84" s="0" t="s">
        <v>38</v>
      </c>
      <c r="F84" s="0" t="s">
        <v>35</v>
      </c>
      <c r="H84" s="0" t="s">
        <v>61</v>
      </c>
      <c r="I84" s="45" t="str">
        <f aca="false">B84&amp;"|"&amp;E84</f>
        <v>IW11|HVAC Finish</v>
      </c>
      <c r="J84" s="45" t="str">
        <f aca="false">IF(H84="","",B84&amp;"|"&amp;H84)</f>
        <v>IW11|Painting Main</v>
      </c>
      <c r="K84" s="46" t="n">
        <v>2</v>
      </c>
      <c r="L84" s="47" t="n">
        <f aca="false">IF(H84="",C84,WORKDAY(INDEX($O$2:$O$2000,MATCH(J84,$I$2:$I$2000,0)),1))</f>
        <v>46304</v>
      </c>
      <c r="M84" s="47" t="str">
        <f aca="false">IF(G84="","",IFERROR(maxifs($O$2:O83,$G$2:G83,G84),""))</f>
        <v/>
      </c>
      <c r="N84" s="47" t="n">
        <f aca="false">IF(G84="",L84,MAX(L84,IF(M84="",L84,WORKDAY(M84,1))))</f>
        <v>46304</v>
      </c>
      <c r="O84" s="47" t="n">
        <f aca="false">WORKDAY(N84,K84-1)</f>
        <v>46307</v>
      </c>
      <c r="P84" s="45" t="n">
        <f aca="false">MAX(0,NETWORKDAYS(L84,N84)-1)</f>
        <v>0</v>
      </c>
      <c r="Q84" s="45" t="str">
        <f aca="false">IF(P84&gt;0,"BOTTLENECK DELAY","")</f>
        <v/>
      </c>
    </row>
    <row r="85" customFormat="false" ht="15" hidden="false" customHeight="false" outlineLevel="0" collapsed="false">
      <c r="A85" s="0" t="n">
        <v>84</v>
      </c>
      <c r="B85" s="0" t="s">
        <v>105</v>
      </c>
      <c r="C85" s="44" t="n">
        <f aca="false">INDEX(Projects!$B$2:$B$100,MATCH(B85,Projects!$A$2:$A$100,0))</f>
        <v>46134</v>
      </c>
      <c r="D85" s="0" t="n">
        <v>40</v>
      </c>
      <c r="E85" s="0" t="s">
        <v>42</v>
      </c>
      <c r="F85" s="0" t="s">
        <v>39</v>
      </c>
      <c r="G85" s="0" t="s">
        <v>39</v>
      </c>
      <c r="H85" s="0" t="s">
        <v>66</v>
      </c>
      <c r="I85" s="45" t="str">
        <f aca="false">B85&amp;"|"&amp;E85</f>
        <v>IW11|Plumbing Finish</v>
      </c>
      <c r="J85" s="45" t="str">
        <f aca="false">IF(H85="","",B85&amp;"|"&amp;H85)</f>
        <v>IW11|Countertops</v>
      </c>
      <c r="K85" s="46" t="n">
        <v>2</v>
      </c>
      <c r="L85" s="47" t="n">
        <f aca="false">IF(H85="",C85,WORKDAY(INDEX($O$2:$O$2000,MATCH(J85,$I$2:$I$2000,0)),1))</f>
        <v>46290</v>
      </c>
      <c r="M85" s="47" t="str">
        <f aca="false">IF(G85="","",IFERROR(maxifs($O$2:O84,$G$2:G84,G85),""))</f>
        <v/>
      </c>
      <c r="N85" s="47" t="n">
        <f aca="false">IF(G85="",L85,MAX(L85,IF(M85="",L85,WORKDAY(M85,1))))</f>
        <v>46290</v>
      </c>
      <c r="O85" s="47" t="n">
        <f aca="false">WORKDAY(N85,K85-1)</f>
        <v>46293</v>
      </c>
      <c r="P85" s="45" t="n">
        <f aca="false">MAX(0,NETWORKDAYS(L85,N85)-1)</f>
        <v>0</v>
      </c>
      <c r="Q85" s="45" t="str">
        <f aca="false">IF(P85&gt;0,"BOTTLENECK DELAY","")</f>
        <v/>
      </c>
    </row>
    <row r="86" customFormat="false" ht="15" hidden="false" customHeight="false" outlineLevel="0" collapsed="false">
      <c r="A86" s="0" t="n">
        <v>85</v>
      </c>
      <c r="B86" s="0" t="s">
        <v>105</v>
      </c>
      <c r="C86" s="44" t="n">
        <f aca="false">INDEX(Projects!$B$2:$B$100,MATCH(B86,Projects!$A$2:$A$100,0))</f>
        <v>46134</v>
      </c>
      <c r="D86" s="0" t="n">
        <v>41</v>
      </c>
      <c r="E86" s="0" t="s">
        <v>33</v>
      </c>
      <c r="F86" s="0" t="s">
        <v>30</v>
      </c>
      <c r="H86" s="0" t="s">
        <v>61</v>
      </c>
      <c r="I86" s="45" t="str">
        <f aca="false">B86&amp;"|"&amp;E86</f>
        <v>IW11|Electrical Finish</v>
      </c>
      <c r="J86" s="45" t="str">
        <f aca="false">IF(H86="","",B86&amp;"|"&amp;H86)</f>
        <v>IW11|Painting Main</v>
      </c>
      <c r="K86" s="46" t="n">
        <v>4</v>
      </c>
      <c r="L86" s="47" t="n">
        <f aca="false">IF(H86="",C86,WORKDAY(INDEX($O$2:$O$2000,MATCH(J86,$I$2:$I$2000,0)),1))</f>
        <v>46304</v>
      </c>
      <c r="M86" s="47" t="str">
        <f aca="false">IF(G86="","",IFERROR(maxifs($O$2:O85,$G$2:G85,G86),""))</f>
        <v/>
      </c>
      <c r="N86" s="47" t="n">
        <f aca="false">IF(G86="",L86,MAX(L86,IF(M86="",L86,WORKDAY(M86,1))))</f>
        <v>46304</v>
      </c>
      <c r="O86" s="47" t="n">
        <f aca="false">WORKDAY(N86,K86-1)</f>
        <v>46309</v>
      </c>
      <c r="P86" s="45" t="n">
        <f aca="false">MAX(0,NETWORKDAYS(L86,N86)-1)</f>
        <v>0</v>
      </c>
      <c r="Q86" s="45" t="str">
        <f aca="false">IF(P86&gt;0,"BOTTLENECK DELAY","")</f>
        <v/>
      </c>
    </row>
    <row r="87" customFormat="false" ht="15" hidden="false" customHeight="false" outlineLevel="0" collapsed="false">
      <c r="A87" s="0" t="n">
        <v>86</v>
      </c>
      <c r="B87" s="0" t="s">
        <v>105</v>
      </c>
      <c r="C87" s="44" t="n">
        <f aca="false">INDEX(Projects!$B$2:$B$100,MATCH(B87,Projects!$A$2:$A$100,0))</f>
        <v>46134</v>
      </c>
      <c r="D87" s="0" t="n">
        <v>42</v>
      </c>
      <c r="E87" s="0" t="s">
        <v>49</v>
      </c>
      <c r="F87" s="0" t="s">
        <v>46</v>
      </c>
      <c r="H87" s="0" t="s">
        <v>33</v>
      </c>
      <c r="I87" s="45" t="str">
        <f aca="false">B87&amp;"|"&amp;E87</f>
        <v>IW11|Insulation Ceiling</v>
      </c>
      <c r="J87" s="45" t="str">
        <f aca="false">IF(H87="","",B87&amp;"|"&amp;H87)</f>
        <v>IW11|Electrical Finish</v>
      </c>
      <c r="K87" s="46" t="n">
        <v>2</v>
      </c>
      <c r="L87" s="47" t="n">
        <f aca="false">IF(H87="",C87,WORKDAY(INDEX($O$2:$O$2000,MATCH(J87,$I$2:$I$2000,0)),1))</f>
        <v>46310</v>
      </c>
      <c r="M87" s="47" t="str">
        <f aca="false">IF(G87="","",IFERROR(maxifs($O$2:O86,$G$2:G86,G87),""))</f>
        <v/>
      </c>
      <c r="N87" s="47" t="n">
        <f aca="false">IF(G87="",L87,MAX(L87,IF(M87="",L87,WORKDAY(M87,1))))</f>
        <v>46310</v>
      </c>
      <c r="O87" s="47" t="n">
        <f aca="false">WORKDAY(N87,K87-1)</f>
        <v>46311</v>
      </c>
      <c r="P87" s="45" t="n">
        <f aca="false">MAX(0,NETWORKDAYS(L87,N87)-1)</f>
        <v>0</v>
      </c>
      <c r="Q87" s="45" t="str">
        <f aca="false">IF(P87&gt;0,"BOTTLENECK DELAY","")</f>
        <v/>
      </c>
    </row>
    <row r="88" customFormat="false" ht="15" hidden="false" customHeight="false" outlineLevel="0" collapsed="false">
      <c r="A88" s="0" t="n">
        <v>87</v>
      </c>
      <c r="B88" s="0" t="s">
        <v>105</v>
      </c>
      <c r="C88" s="44" t="n">
        <f aca="false">INDEX(Projects!$B$2:$B$100,MATCH(B88,Projects!$A$2:$A$100,0))</f>
        <v>46134</v>
      </c>
      <c r="D88" s="0" t="n">
        <v>43</v>
      </c>
      <c r="E88" s="0" t="s">
        <v>62</v>
      </c>
      <c r="F88" s="0" t="s">
        <v>59</v>
      </c>
      <c r="H88" s="0" t="s">
        <v>33</v>
      </c>
      <c r="I88" s="45" t="str">
        <f aca="false">B88&amp;"|"&amp;E88</f>
        <v>IW11|Painting Finish</v>
      </c>
      <c r="J88" s="45" t="str">
        <f aca="false">IF(H88="","",B88&amp;"|"&amp;H88)</f>
        <v>IW11|Electrical Finish</v>
      </c>
      <c r="K88" s="46" t="n">
        <v>5</v>
      </c>
      <c r="L88" s="47" t="n">
        <f aca="false">IF(H88="",C88,WORKDAY(INDEX($O$2:$O$2000,MATCH(J88,$I$2:$I$2000,0)),1))</f>
        <v>46310</v>
      </c>
      <c r="M88" s="47" t="str">
        <f aca="false">IF(G88="","",IFERROR(maxifs($O$2:O87,$G$2:G87,G88),""))</f>
        <v/>
      </c>
      <c r="N88" s="47" t="n">
        <f aca="false">IF(G88="",L88,MAX(L88,IF(M88="",L88,WORKDAY(M88,1))))</f>
        <v>46310</v>
      </c>
      <c r="O88" s="47" t="n">
        <f aca="false">WORKDAY(N88,K88-1)</f>
        <v>46316</v>
      </c>
      <c r="P88" s="45" t="n">
        <f aca="false">MAX(0,NETWORKDAYS(L88,N88)-1)</f>
        <v>0</v>
      </c>
      <c r="Q88" s="45" t="str">
        <f aca="false">IF(P88&gt;0,"BOTTLENECK DELAY","")</f>
        <v/>
      </c>
    </row>
    <row r="89" customFormat="false" ht="15" hidden="false" customHeight="false" outlineLevel="0" collapsed="false">
      <c r="A89" s="0" t="n">
        <v>88</v>
      </c>
      <c r="B89" s="0" t="s">
        <v>105</v>
      </c>
      <c r="C89" s="44" t="n">
        <f aca="false">INDEX(Projects!$B$2:$B$100,MATCH(B89,Projects!$A$2:$A$100,0))</f>
        <v>46134</v>
      </c>
      <c r="D89" s="0" t="n">
        <v>44</v>
      </c>
      <c r="E89" s="0" t="s">
        <v>79</v>
      </c>
      <c r="F89" s="0" t="s">
        <v>78</v>
      </c>
      <c r="H89" s="0" t="s">
        <v>62</v>
      </c>
      <c r="I89" s="45" t="str">
        <f aca="false">B89&amp;"|"&amp;E89</f>
        <v>IW11|Cleaning</v>
      </c>
      <c r="J89" s="45" t="str">
        <f aca="false">IF(H89="","",B89&amp;"|"&amp;H89)</f>
        <v>IW11|Painting Finish</v>
      </c>
      <c r="K89" s="46" t="n">
        <v>3</v>
      </c>
      <c r="L89" s="47" t="n">
        <f aca="false">IF(H89="",C89,WORKDAY(INDEX($O$2:$O$2000,MATCH(J89,$I$2:$I$2000,0)),1))</f>
        <v>46317</v>
      </c>
      <c r="M89" s="47" t="str">
        <f aca="false">IF(G89="","",IFERROR(maxifs($O$2:O88,$G$2:G88,G89),""))</f>
        <v/>
      </c>
      <c r="N89" s="47" t="n">
        <f aca="false">IF(G89="",L89,MAX(L89,IF(M89="",L89,WORKDAY(M89,1))))</f>
        <v>46317</v>
      </c>
      <c r="O89" s="47" t="n">
        <f aca="false">WORKDAY(N89,K89-1)</f>
        <v>46321</v>
      </c>
      <c r="P89" s="45" t="n">
        <f aca="false">MAX(0,NETWORKDAYS(L89,N89)-1)</f>
        <v>0</v>
      </c>
      <c r="Q89" s="45" t="str">
        <f aca="false">IF(P89&gt;0,"BOTTLENECK DELAY","")</f>
        <v/>
      </c>
    </row>
    <row r="90" customFormat="false" ht="15" hidden="false" customHeight="false" outlineLevel="0" collapsed="false">
      <c r="A90" s="0" t="n">
        <v>89</v>
      </c>
      <c r="B90" s="0" t="s">
        <v>108</v>
      </c>
      <c r="C90" s="44" t="n">
        <f aca="false">INDEX(Projects!$B$2:$B$100,MATCH(B90,Projects!$A$2:$A$100,0))</f>
        <v>46155</v>
      </c>
      <c r="D90" s="0" t="n">
        <v>1</v>
      </c>
      <c r="E90" s="0" t="s">
        <v>16</v>
      </c>
      <c r="F90" s="0" t="s">
        <v>120</v>
      </c>
      <c r="I90" s="45" t="str">
        <f aca="false">B90&amp;"|"&amp;E90</f>
        <v>IW12|Estimate</v>
      </c>
      <c r="J90" s="45" t="str">
        <f aca="false">IF(H90="","",B90&amp;"|"&amp;H90)</f>
        <v/>
      </c>
      <c r="K90" s="46" t="n">
        <v>10</v>
      </c>
      <c r="L90" s="47" t="n">
        <f aca="false">IF(H90="",C90,WORKDAY(INDEX($O$2:$O$2000,MATCH(J90,$I$2:$I$2000,0)),1))</f>
        <v>46155</v>
      </c>
      <c r="M90" s="47" t="str">
        <f aca="false">IF(G90="","",IFERROR(maxifs($O$2:O89,$G$2:G89,G90),""))</f>
        <v/>
      </c>
      <c r="N90" s="47" t="n">
        <f aca="false">IF(G90="",L90,MAX(L90,IF(M90="",L90,WORKDAY(M90,1))))</f>
        <v>46155</v>
      </c>
      <c r="O90" s="47" t="n">
        <f aca="false">WORKDAY(N90,K90-1)</f>
        <v>46168</v>
      </c>
      <c r="P90" s="45" t="n">
        <f aca="false">MAX(0,NETWORKDAYS(L90,N90)-1)</f>
        <v>0</v>
      </c>
      <c r="Q90" s="45" t="str">
        <f aca="false">IF(P90&gt;0,"BOTTLENECK DELAY","")</f>
        <v/>
      </c>
    </row>
    <row r="91" customFormat="false" ht="15" hidden="false" customHeight="false" outlineLevel="0" collapsed="false">
      <c r="A91" s="0" t="n">
        <v>90</v>
      </c>
      <c r="B91" s="0" t="s">
        <v>108</v>
      </c>
      <c r="C91" s="44" t="n">
        <f aca="false">INDEX(Projects!$B$2:$B$100,MATCH(B91,Projects!$A$2:$A$100,0))</f>
        <v>46155</v>
      </c>
      <c r="D91" s="0" t="n">
        <v>2</v>
      </c>
      <c r="E91" s="0" t="s">
        <v>17</v>
      </c>
      <c r="F91" s="0" t="s">
        <v>120</v>
      </c>
      <c r="H91" s="0" t="s">
        <v>16</v>
      </c>
      <c r="I91" s="45" t="str">
        <f aca="false">B91&amp;"|"&amp;E91</f>
        <v>IW12|Clearing</v>
      </c>
      <c r="J91" s="45" t="str">
        <f aca="false">IF(H91="","",B91&amp;"|"&amp;H91)</f>
        <v>IW12|Estimate</v>
      </c>
      <c r="K91" s="46" t="n">
        <v>3</v>
      </c>
      <c r="L91" s="47" t="n">
        <f aca="false">IF(H91="",C91,WORKDAY(INDEX($O$2:$O$2000,MATCH(J91,$I$2:$I$2000,0)),1))</f>
        <v>46169</v>
      </c>
      <c r="M91" s="47" t="str">
        <f aca="false">IF(G91="","",IFERROR(maxifs($O$2:O90,$G$2:G90,G91),""))</f>
        <v/>
      </c>
      <c r="N91" s="47" t="n">
        <f aca="false">IF(G91="",L91,MAX(L91,IF(M91="",L91,WORKDAY(M91,1))))</f>
        <v>46169</v>
      </c>
      <c r="O91" s="47" t="n">
        <f aca="false">WORKDAY(N91,K91-1)</f>
        <v>46171</v>
      </c>
      <c r="P91" s="45" t="n">
        <f aca="false">MAX(0,NETWORKDAYS(L91,N91)-1)</f>
        <v>0</v>
      </c>
      <c r="Q91" s="45" t="str">
        <f aca="false">IF(P91&gt;0,"BOTTLENECK DELAY","")</f>
        <v/>
      </c>
    </row>
    <row r="92" customFormat="false" ht="15" hidden="false" customHeight="false" outlineLevel="0" collapsed="false">
      <c r="A92" s="0" t="n">
        <v>91</v>
      </c>
      <c r="B92" s="0" t="s">
        <v>108</v>
      </c>
      <c r="C92" s="44" t="n">
        <f aca="false">INDEX(Projects!$B$2:$B$100,MATCH(B92,Projects!$A$2:$A$100,0))</f>
        <v>46155</v>
      </c>
      <c r="D92" s="0" t="n">
        <v>3</v>
      </c>
      <c r="E92" s="0" t="s">
        <v>18</v>
      </c>
      <c r="F92" s="0" t="s">
        <v>120</v>
      </c>
      <c r="H92" s="0" t="s">
        <v>17</v>
      </c>
      <c r="I92" s="45" t="str">
        <f aca="false">B92&amp;"|"&amp;E92</f>
        <v>IW12|Site Prep</v>
      </c>
      <c r="J92" s="45" t="str">
        <f aca="false">IF(H92="","",B92&amp;"|"&amp;H92)</f>
        <v>IW12|Clearing</v>
      </c>
      <c r="K92" s="46" t="n">
        <v>2</v>
      </c>
      <c r="L92" s="47" t="n">
        <f aca="false">IF(H92="",C92,WORKDAY(INDEX($O$2:$O$2000,MATCH(J92,$I$2:$I$2000,0)),1))</f>
        <v>46174</v>
      </c>
      <c r="M92" s="47" t="str">
        <f aca="false">IF(G92="","",IFERROR(maxifs($O$2:O91,$G$2:G91,G92),""))</f>
        <v/>
      </c>
      <c r="N92" s="47" t="n">
        <f aca="false">IF(G92="",L92,MAX(L92,IF(M92="",L92,WORKDAY(M92,1))))</f>
        <v>46174</v>
      </c>
      <c r="O92" s="47" t="n">
        <f aca="false">WORKDAY(N92,K92-1)</f>
        <v>46175</v>
      </c>
      <c r="P92" s="45" t="n">
        <f aca="false">MAX(0,NETWORKDAYS(L92,N92)-1)</f>
        <v>0</v>
      </c>
      <c r="Q92" s="45" t="str">
        <f aca="false">IF(P92&gt;0,"BOTTLENECK DELAY","")</f>
        <v/>
      </c>
    </row>
    <row r="93" customFormat="false" ht="15" hidden="false" customHeight="false" outlineLevel="0" collapsed="false">
      <c r="A93" s="0" t="n">
        <v>92</v>
      </c>
      <c r="B93" s="0" t="s">
        <v>108</v>
      </c>
      <c r="C93" s="44" t="n">
        <f aca="false">INDEX(Projects!$B$2:$B$100,MATCH(B93,Projects!$A$2:$A$100,0))</f>
        <v>46155</v>
      </c>
      <c r="D93" s="0" t="n">
        <v>4</v>
      </c>
      <c r="E93" s="0" t="s">
        <v>12</v>
      </c>
      <c r="F93" s="0" t="s">
        <v>121</v>
      </c>
      <c r="G93" s="0" t="s">
        <v>121</v>
      </c>
      <c r="H93" s="0" t="s">
        <v>18</v>
      </c>
      <c r="I93" s="45" t="str">
        <f aca="false">B93&amp;"|"&amp;E93</f>
        <v>IW12|Footer</v>
      </c>
      <c r="J93" s="45" t="str">
        <f aca="false">IF(H93="","",B93&amp;"|"&amp;H93)</f>
        <v>IW12|Site Prep</v>
      </c>
      <c r="K93" s="46" t="n">
        <v>4</v>
      </c>
      <c r="L93" s="47" t="n">
        <f aca="false">IF(H93="",C93,WORKDAY(INDEX($O$2:$O$2000,MATCH(J93,$I$2:$I$2000,0)),1))</f>
        <v>46176</v>
      </c>
      <c r="M93" s="47" t="str">
        <f aca="false">IF(G93="","",IFERROR(maxifs($O$2:O92,$G$2:G92,G93),""))</f>
        <v/>
      </c>
      <c r="N93" s="47" t="n">
        <f aca="false">IF(G93="",L93,MAX(L93,IF(M93="",L93,WORKDAY(M93,1))))</f>
        <v>46176</v>
      </c>
      <c r="O93" s="47" t="n">
        <f aca="false">WORKDAY(N93,K93-1)</f>
        <v>46181</v>
      </c>
      <c r="P93" s="45" t="n">
        <f aca="false">MAX(0,NETWORKDAYS(L93,N93)-1)</f>
        <v>0</v>
      </c>
      <c r="Q93" s="45" t="str">
        <f aca="false">IF(P93&gt;0,"BOTTLENECK DELAY","")</f>
        <v/>
      </c>
    </row>
    <row r="94" customFormat="false" ht="15" hidden="false" customHeight="false" outlineLevel="0" collapsed="false">
      <c r="A94" s="0" t="n">
        <v>93</v>
      </c>
      <c r="B94" s="0" t="s">
        <v>108</v>
      </c>
      <c r="C94" s="44" t="n">
        <f aca="false">INDEX(Projects!$B$2:$B$100,MATCH(B94,Projects!$A$2:$A$100,0))</f>
        <v>46155</v>
      </c>
      <c r="D94" s="0" t="n">
        <v>5</v>
      </c>
      <c r="E94" s="0" t="s">
        <v>22</v>
      </c>
      <c r="F94" s="0" t="s">
        <v>21</v>
      </c>
      <c r="H94" s="0" t="s">
        <v>12</v>
      </c>
      <c r="I94" s="45" t="str">
        <f aca="false">B94&amp;"|"&amp;E94</f>
        <v>IW12|Block</v>
      </c>
      <c r="J94" s="45" t="str">
        <f aca="false">IF(H94="","",B94&amp;"|"&amp;H94)</f>
        <v>IW12|Footer</v>
      </c>
      <c r="K94" s="46" t="n">
        <v>10</v>
      </c>
      <c r="L94" s="47" t="n">
        <f aca="false">IF(H94="",C94,WORKDAY(INDEX($O$2:$O$2000,MATCH(J94,$I$2:$I$2000,0)),1))</f>
        <v>46182</v>
      </c>
      <c r="M94" s="47" t="str">
        <f aca="false">IF(G94="","",IFERROR(maxifs($O$2:O93,$G$2:G93,G94),""))</f>
        <v/>
      </c>
      <c r="N94" s="47" t="n">
        <f aca="false">IF(G94="",L94,MAX(L94,IF(M94="",L94,WORKDAY(M94,1))))</f>
        <v>46182</v>
      </c>
      <c r="O94" s="47" t="n">
        <f aca="false">WORKDAY(N94,K94-1)</f>
        <v>46195</v>
      </c>
      <c r="P94" s="45" t="n">
        <f aca="false">MAX(0,NETWORKDAYS(L94,N94)-1)</f>
        <v>0</v>
      </c>
      <c r="Q94" s="45" t="str">
        <f aca="false">IF(P94&gt;0,"BOTTLENECK DELAY","")</f>
        <v/>
      </c>
    </row>
    <row r="95" customFormat="false" ht="15" hidden="false" customHeight="false" outlineLevel="0" collapsed="false">
      <c r="A95" s="0" t="n">
        <v>94</v>
      </c>
      <c r="B95" s="0" t="s">
        <v>108</v>
      </c>
      <c r="C95" s="44" t="n">
        <f aca="false">INDEX(Projects!$B$2:$B$100,MATCH(B95,Projects!$A$2:$A$100,0))</f>
        <v>46155</v>
      </c>
      <c r="D95" s="0" t="n">
        <v>6</v>
      </c>
      <c r="E95" s="0" t="s">
        <v>72</v>
      </c>
      <c r="F95" s="0" t="s">
        <v>69</v>
      </c>
      <c r="H95" s="0" t="s">
        <v>22</v>
      </c>
      <c r="I95" s="45" t="str">
        <f aca="false">B95&amp;"|"&amp;E95</f>
        <v>IW12|French Drain</v>
      </c>
      <c r="J95" s="45" t="str">
        <f aca="false">IF(H95="","",B95&amp;"|"&amp;H95)</f>
        <v>IW12|Block</v>
      </c>
      <c r="K95" s="46" t="n">
        <v>2</v>
      </c>
      <c r="L95" s="47" t="n">
        <f aca="false">IF(H95="",C95,WORKDAY(INDEX($O$2:$O$2000,MATCH(J95,$I$2:$I$2000,0)),1))</f>
        <v>46196</v>
      </c>
      <c r="M95" s="47" t="str">
        <f aca="false">IF(G95="","",IFERROR(maxifs($O$2:O94,$G$2:G94,G95),""))</f>
        <v/>
      </c>
      <c r="N95" s="47" t="n">
        <f aca="false">IF(G95="",L95,MAX(L95,IF(M95="",L95,WORKDAY(M95,1))))</f>
        <v>46196</v>
      </c>
      <c r="O95" s="47" t="n">
        <f aca="false">WORKDAY(N95,K95-1)</f>
        <v>46197</v>
      </c>
      <c r="P95" s="45" t="n">
        <f aca="false">MAX(0,NETWORKDAYS(L95,N95)-1)</f>
        <v>0</v>
      </c>
      <c r="Q95" s="45" t="str">
        <f aca="false">IF(P95&gt;0,"BOTTLENECK DELAY","")</f>
        <v/>
      </c>
    </row>
    <row r="96" customFormat="false" ht="15" hidden="false" customHeight="false" outlineLevel="0" collapsed="false">
      <c r="A96" s="0" t="n">
        <v>95</v>
      </c>
      <c r="B96" s="0" t="s">
        <v>108</v>
      </c>
      <c r="C96" s="44" t="n">
        <f aca="false">INDEX(Projects!$B$2:$B$100,MATCH(B96,Projects!$A$2:$A$100,0))</f>
        <v>46155</v>
      </c>
      <c r="D96" s="0" t="n">
        <v>7</v>
      </c>
      <c r="E96" s="0" t="s">
        <v>47</v>
      </c>
      <c r="F96" s="0" t="s">
        <v>46</v>
      </c>
      <c r="H96" s="0" t="s">
        <v>22</v>
      </c>
      <c r="I96" s="45" t="str">
        <f aca="false">B96&amp;"|"&amp;E96</f>
        <v>IW12|Insulation Block</v>
      </c>
      <c r="J96" s="45" t="str">
        <f aca="false">IF(H96="","",B96&amp;"|"&amp;H96)</f>
        <v>IW12|Block</v>
      </c>
      <c r="K96" s="46" t="n">
        <v>2</v>
      </c>
      <c r="L96" s="47" t="n">
        <f aca="false">IF(H96="",C96,WORKDAY(INDEX($O$2:$O$2000,MATCH(J96,$I$2:$I$2000,0)),1))</f>
        <v>46196</v>
      </c>
      <c r="M96" s="47" t="str">
        <f aca="false">IF(G96="","",IFERROR(maxifs($O$2:O95,$G$2:G95,G96),""))</f>
        <v/>
      </c>
      <c r="N96" s="47" t="n">
        <f aca="false">IF(G96="",L96,MAX(L96,IF(M96="",L96,WORKDAY(M96,1))))</f>
        <v>46196</v>
      </c>
      <c r="O96" s="47" t="n">
        <f aca="false">WORKDAY(N96,K96-1)</f>
        <v>46197</v>
      </c>
      <c r="P96" s="45" t="n">
        <f aca="false">MAX(0,NETWORKDAYS(L96,N96)-1)</f>
        <v>0</v>
      </c>
      <c r="Q96" s="45" t="str">
        <f aca="false">IF(P96&gt;0,"BOTTLENECK DELAY","")</f>
        <v/>
      </c>
    </row>
    <row r="97" customFormat="false" ht="15" hidden="false" customHeight="false" outlineLevel="0" collapsed="false">
      <c r="A97" s="0" t="n">
        <v>96</v>
      </c>
      <c r="B97" s="0" t="s">
        <v>108</v>
      </c>
      <c r="C97" s="44" t="n">
        <f aca="false">INDEX(Projects!$B$2:$B$100,MATCH(B97,Projects!$A$2:$A$100,0))</f>
        <v>46155</v>
      </c>
      <c r="D97" s="0" t="n">
        <v>8</v>
      </c>
      <c r="E97" s="0" t="s">
        <v>95</v>
      </c>
      <c r="H97" s="0" t="s">
        <v>47</v>
      </c>
      <c r="I97" s="45" t="str">
        <f aca="false">B97&amp;"|"&amp;E97</f>
        <v>IW12|Rock Work</v>
      </c>
      <c r="J97" s="45" t="str">
        <f aca="false">IF(H97="","",B97&amp;"|"&amp;H97)</f>
        <v>IW12|Insulation Block</v>
      </c>
      <c r="K97" s="46" t="n">
        <v>2</v>
      </c>
      <c r="L97" s="47" t="n">
        <f aca="false">IF(H97="",C97,WORKDAY(INDEX($O$2:$O$2000,MATCH(J97,$I$2:$I$2000,0)),1))</f>
        <v>46198</v>
      </c>
      <c r="M97" s="47" t="str">
        <f aca="false">IF(G97="","",IFERROR(maxifs($O$2:O96,$G$2:G96,G97),""))</f>
        <v/>
      </c>
      <c r="N97" s="47" t="n">
        <f aca="false">IF(G97="",L97,MAX(L97,IF(M97="",L97,WORKDAY(M97,1))))</f>
        <v>46198</v>
      </c>
      <c r="O97" s="47" t="n">
        <f aca="false">WORKDAY(N97,K97-1)</f>
        <v>46199</v>
      </c>
      <c r="P97" s="45" t="n">
        <f aca="false">MAX(0,NETWORKDAYS(L97,N97)-1)</f>
        <v>0</v>
      </c>
      <c r="Q97" s="45" t="str">
        <f aca="false">IF(P97&gt;0,"BOTTLENECK DELAY","")</f>
        <v/>
      </c>
    </row>
    <row r="98" customFormat="false" ht="15" hidden="false" customHeight="false" outlineLevel="0" collapsed="false">
      <c r="A98" s="0" t="n">
        <v>97</v>
      </c>
      <c r="B98" s="0" t="s">
        <v>108</v>
      </c>
      <c r="C98" s="44" t="n">
        <f aca="false">INDEX(Projects!$B$2:$B$100,MATCH(B98,Projects!$A$2:$A$100,0))</f>
        <v>46155</v>
      </c>
      <c r="D98" s="0" t="n">
        <v>9</v>
      </c>
      <c r="E98" s="0" t="s">
        <v>36</v>
      </c>
      <c r="F98" s="0" t="s">
        <v>35</v>
      </c>
      <c r="H98" s="0" t="s">
        <v>95</v>
      </c>
      <c r="I98" s="45" t="str">
        <f aca="false">B98&amp;"|"&amp;E98</f>
        <v>IW12|HVAC Pre</v>
      </c>
      <c r="J98" s="45" t="str">
        <f aca="false">IF(H98="","",B98&amp;"|"&amp;H98)</f>
        <v>IW12|Rock Work</v>
      </c>
      <c r="K98" s="46" t="n">
        <v>2</v>
      </c>
      <c r="L98" s="47" t="n">
        <f aca="false">IF(H98="",C98,WORKDAY(INDEX($O$2:$O$2000,MATCH(J98,$I$2:$I$2000,0)),1))</f>
        <v>46202</v>
      </c>
      <c r="M98" s="47" t="str">
        <f aca="false">IF(G98="","",IFERROR(maxifs($O$2:O97,$G$2:G97,G98),""))</f>
        <v/>
      </c>
      <c r="N98" s="47" t="n">
        <f aca="false">IF(G98="",L98,MAX(L98,IF(M98="",L98,WORKDAY(M98,1))))</f>
        <v>46202</v>
      </c>
      <c r="O98" s="47" t="n">
        <f aca="false">WORKDAY(N98,K98-1)</f>
        <v>46203</v>
      </c>
      <c r="P98" s="45" t="n">
        <f aca="false">MAX(0,NETWORKDAYS(L98,N98)-1)</f>
        <v>0</v>
      </c>
      <c r="Q98" s="45" t="str">
        <f aca="false">IF(P98&gt;0,"BOTTLENECK DELAY","")</f>
        <v/>
      </c>
    </row>
    <row r="99" customFormat="false" ht="15" hidden="false" customHeight="false" outlineLevel="0" collapsed="false">
      <c r="A99" s="0" t="n">
        <v>98</v>
      </c>
      <c r="B99" s="0" t="s">
        <v>108</v>
      </c>
      <c r="C99" s="44" t="n">
        <f aca="false">INDEX(Projects!$B$2:$B$100,MATCH(B99,Projects!$A$2:$A$100,0))</f>
        <v>46155</v>
      </c>
      <c r="D99" s="0" t="n">
        <v>10</v>
      </c>
      <c r="E99" s="0" t="s">
        <v>40</v>
      </c>
      <c r="F99" s="0" t="s">
        <v>39</v>
      </c>
      <c r="G99" s="0" t="s">
        <v>39</v>
      </c>
      <c r="H99" s="0" t="s">
        <v>95</v>
      </c>
      <c r="I99" s="45" t="str">
        <f aca="false">B99&amp;"|"&amp;E99</f>
        <v>IW12|Plumbing Pre</v>
      </c>
      <c r="J99" s="45" t="str">
        <f aca="false">IF(H99="","",B99&amp;"|"&amp;H99)</f>
        <v>IW12|Rock Work</v>
      </c>
      <c r="K99" s="46" t="n">
        <v>5</v>
      </c>
      <c r="L99" s="47" t="n">
        <f aca="false">IF(H99="",C99,WORKDAY(INDEX($O$2:$O$2000,MATCH(J99,$I$2:$I$2000,0)),1))</f>
        <v>46202</v>
      </c>
      <c r="M99" s="47" t="str">
        <f aca="false">IF(G99="","",IFERROR(maxifs($O$2:O98,$G$2:G98,G99),""))</f>
        <v/>
      </c>
      <c r="N99" s="47" t="n">
        <f aca="false">IF(G99="",L99,MAX(L99,IF(M99="",L99,WORKDAY(M99,1))))</f>
        <v>46202</v>
      </c>
      <c r="O99" s="47" t="n">
        <f aca="false">WORKDAY(N99,K99-1)</f>
        <v>46206</v>
      </c>
      <c r="P99" s="45" t="n">
        <f aca="false">MAX(0,NETWORKDAYS(L99,N99)-1)</f>
        <v>0</v>
      </c>
      <c r="Q99" s="45" t="str">
        <f aca="false">IF(P99&gt;0,"BOTTLENECK DELAY","")</f>
        <v/>
      </c>
    </row>
    <row r="100" customFormat="false" ht="15" hidden="false" customHeight="false" outlineLevel="0" collapsed="false">
      <c r="A100" s="0" t="n">
        <v>99</v>
      </c>
      <c r="B100" s="0" t="s">
        <v>108</v>
      </c>
      <c r="C100" s="44" t="n">
        <f aca="false">INDEX(Projects!$B$2:$B$100,MATCH(B100,Projects!$A$2:$A$100,0))</f>
        <v>46155</v>
      </c>
      <c r="D100" s="0" t="n">
        <v>11</v>
      </c>
      <c r="E100" s="0" t="s">
        <v>31</v>
      </c>
      <c r="F100" s="0" t="s">
        <v>30</v>
      </c>
      <c r="H100" s="0" t="s">
        <v>95</v>
      </c>
      <c r="I100" s="45" t="str">
        <f aca="false">B100&amp;"|"&amp;E100</f>
        <v>IW12|Electrical Pre</v>
      </c>
      <c r="J100" s="45" t="str">
        <f aca="false">IF(H100="","",B100&amp;"|"&amp;H100)</f>
        <v>IW12|Rock Work</v>
      </c>
      <c r="K100" s="46" t="n">
        <v>2</v>
      </c>
      <c r="L100" s="47" t="n">
        <f aca="false">IF(H100="",C100,WORKDAY(INDEX($O$2:$O$2000,MATCH(J100,$I$2:$I$2000,0)),1))</f>
        <v>46202</v>
      </c>
      <c r="M100" s="47" t="str">
        <f aca="false">IF(G100="","",IFERROR(maxifs($O$2:O99,$G$2:G99,G100),""))</f>
        <v/>
      </c>
      <c r="N100" s="47" t="n">
        <f aca="false">IF(G100="",L100,MAX(L100,IF(M100="",L100,WORKDAY(M100,1))))</f>
        <v>46202</v>
      </c>
      <c r="O100" s="47" t="n">
        <f aca="false">WORKDAY(N100,K100-1)</f>
        <v>46203</v>
      </c>
      <c r="P100" s="45" t="n">
        <f aca="false">MAX(0,NETWORKDAYS(L100,N100)-1)</f>
        <v>0</v>
      </c>
      <c r="Q100" s="45" t="str">
        <f aca="false">IF(P100&gt;0,"BOTTLENECK DELAY","")</f>
        <v/>
      </c>
    </row>
    <row r="101" customFormat="false" ht="15" hidden="false" customHeight="false" outlineLevel="0" collapsed="false">
      <c r="A101" s="0" t="n">
        <v>100</v>
      </c>
      <c r="B101" s="0" t="s">
        <v>108</v>
      </c>
      <c r="C101" s="44" t="n">
        <f aca="false">INDEX(Projects!$B$2:$B$100,MATCH(B101,Projects!$A$2:$A$100,0))</f>
        <v>46155</v>
      </c>
      <c r="D101" s="0" t="n">
        <v>12</v>
      </c>
      <c r="E101" s="0" t="s">
        <v>13</v>
      </c>
      <c r="F101" s="0" t="s">
        <v>121</v>
      </c>
      <c r="G101" s="0" t="s">
        <v>121</v>
      </c>
      <c r="H101" s="0" t="s">
        <v>40</v>
      </c>
      <c r="I101" s="45" t="str">
        <f aca="false">B101&amp;"|"&amp;E101</f>
        <v>IW12|Slab</v>
      </c>
      <c r="J101" s="45" t="str">
        <f aca="false">IF(H101="","",B101&amp;"|"&amp;H101)</f>
        <v>IW12|Plumbing Pre</v>
      </c>
      <c r="K101" s="46" t="n">
        <v>4</v>
      </c>
      <c r="L101" s="47" t="n">
        <f aca="false">IF(H101="",C101,WORKDAY(INDEX($O$2:$O$2000,MATCH(J101,$I$2:$I$2000,0)),1))</f>
        <v>46209</v>
      </c>
      <c r="M101" s="47" t="str">
        <f aca="false">IF(G101="","",IFERROR(maxifs($O$2:O100,$G$2:G100,G101),""))</f>
        <v/>
      </c>
      <c r="N101" s="47" t="n">
        <f aca="false">IF(G101="",L101,MAX(L101,IF(M101="",L101,WORKDAY(M101,1))))</f>
        <v>46209</v>
      </c>
      <c r="O101" s="47" t="n">
        <f aca="false">WORKDAY(N101,K101-1)</f>
        <v>46212</v>
      </c>
      <c r="P101" s="45" t="n">
        <f aca="false">MAX(0,NETWORKDAYS(L101,N101)-1)</f>
        <v>0</v>
      </c>
      <c r="Q101" s="45" t="str">
        <f aca="false">IF(P101&gt;0,"BOTTLENECK DELAY","")</f>
        <v/>
      </c>
    </row>
    <row r="102" customFormat="false" ht="15" hidden="false" customHeight="false" outlineLevel="0" collapsed="false">
      <c r="A102" s="0" t="n">
        <v>101</v>
      </c>
      <c r="B102" s="0" t="s">
        <v>108</v>
      </c>
      <c r="C102" s="44" t="n">
        <f aca="false">INDEX(Projects!$B$2:$B$100,MATCH(B102,Projects!$A$2:$A$100,0))</f>
        <v>46155</v>
      </c>
      <c r="D102" s="0" t="n">
        <v>13</v>
      </c>
      <c r="E102" s="0" t="s">
        <v>26</v>
      </c>
      <c r="F102" s="0" t="s">
        <v>122</v>
      </c>
      <c r="H102" s="0" t="s">
        <v>13</v>
      </c>
      <c r="I102" s="45" t="str">
        <f aca="false">B102&amp;"|"&amp;E102</f>
        <v>IW12|Framing</v>
      </c>
      <c r="J102" s="45" t="str">
        <f aca="false">IF(H102="","",B102&amp;"|"&amp;H102)</f>
        <v>IW12|Slab</v>
      </c>
      <c r="K102" s="46" t="n">
        <v>30</v>
      </c>
      <c r="L102" s="47" t="n">
        <f aca="false">IF(H102="",C102,WORKDAY(INDEX($O$2:$O$2000,MATCH(J102,$I$2:$I$2000,0)),1))</f>
        <v>46213</v>
      </c>
      <c r="M102" s="47" t="str">
        <f aca="false">IF(G102="","",IFERROR(maxifs($O$2:O101,$G$2:G101,G102),""))</f>
        <v/>
      </c>
      <c r="N102" s="47" t="n">
        <f aca="false">IF(G102="",L102,MAX(L102,IF(M102="",L102,WORKDAY(M102,1))))</f>
        <v>46213</v>
      </c>
      <c r="O102" s="47" t="n">
        <f aca="false">WORKDAY(N102,K102-1)</f>
        <v>46254</v>
      </c>
      <c r="P102" s="45" t="n">
        <f aca="false">MAX(0,NETWORKDAYS(L102,N102)-1)</f>
        <v>0</v>
      </c>
      <c r="Q102" s="45" t="str">
        <f aca="false">IF(P102&gt;0,"BOTTLENECK DELAY","")</f>
        <v/>
      </c>
    </row>
    <row r="103" customFormat="false" ht="15" hidden="false" customHeight="false" outlineLevel="0" collapsed="false">
      <c r="A103" s="0" t="n">
        <v>102</v>
      </c>
      <c r="B103" s="0" t="s">
        <v>108</v>
      </c>
      <c r="C103" s="44" t="n">
        <f aca="false">INDEX(Projects!$B$2:$B$100,MATCH(B103,Projects!$A$2:$A$100,0))</f>
        <v>46155</v>
      </c>
      <c r="D103" s="0" t="n">
        <v>14</v>
      </c>
      <c r="E103" s="0" t="s">
        <v>29</v>
      </c>
      <c r="F103" s="0" t="s">
        <v>28</v>
      </c>
      <c r="H103" s="0" t="s">
        <v>26</v>
      </c>
      <c r="I103" s="45" t="str">
        <f aca="false">B103&amp;"|"&amp;E103</f>
        <v>IW12|Roofing</v>
      </c>
      <c r="J103" s="45" t="str">
        <f aca="false">IF(H103="","",B103&amp;"|"&amp;H103)</f>
        <v>IW12|Framing</v>
      </c>
      <c r="K103" s="46" t="n">
        <v>4</v>
      </c>
      <c r="L103" s="47" t="n">
        <f aca="false">IF(H103="",C103,WORKDAY(INDEX($O$2:$O$2000,MATCH(J103,$I$2:$I$2000,0)),1))</f>
        <v>46255</v>
      </c>
      <c r="M103" s="47" t="str">
        <f aca="false">IF(G103="","",IFERROR(maxifs($O$2:O102,$G$2:G102,G103),""))</f>
        <v/>
      </c>
      <c r="N103" s="47" t="n">
        <f aca="false">IF(G103="",L103,MAX(L103,IF(M103="",L103,WORKDAY(M103,1))))</f>
        <v>46255</v>
      </c>
      <c r="O103" s="47" t="n">
        <f aca="false">WORKDAY(N103,K103-1)</f>
        <v>46260</v>
      </c>
      <c r="P103" s="45" t="n">
        <f aca="false">MAX(0,NETWORKDAYS(L103,N103)-1)</f>
        <v>0</v>
      </c>
      <c r="Q103" s="45" t="str">
        <f aca="false">IF(P103&gt;0,"BOTTLENECK DELAY","")</f>
        <v/>
      </c>
    </row>
    <row r="104" customFormat="false" ht="15" hidden="false" customHeight="false" outlineLevel="0" collapsed="false">
      <c r="A104" s="0" t="n">
        <v>103</v>
      </c>
      <c r="B104" s="0" t="s">
        <v>108</v>
      </c>
      <c r="C104" s="44" t="n">
        <f aca="false">INDEX(Projects!$B$2:$B$100,MATCH(B104,Projects!$A$2:$A$100,0))</f>
        <v>46155</v>
      </c>
      <c r="D104" s="0" t="n">
        <v>15</v>
      </c>
      <c r="E104" s="0" t="s">
        <v>23</v>
      </c>
      <c r="F104" s="0" t="s">
        <v>21</v>
      </c>
      <c r="H104" s="0" t="s">
        <v>29</v>
      </c>
      <c r="I104" s="45" t="str">
        <f aca="false">B104&amp;"|"&amp;E104</f>
        <v>IW12|Brick</v>
      </c>
      <c r="J104" s="45" t="str">
        <f aca="false">IF(H104="","",B104&amp;"|"&amp;H104)</f>
        <v>IW12|Roofing</v>
      </c>
      <c r="K104" s="46" t="n">
        <v>20</v>
      </c>
      <c r="L104" s="47" t="n">
        <f aca="false">IF(H104="",C104,WORKDAY(INDEX($O$2:$O$2000,MATCH(J104,$I$2:$I$2000,0)),1))</f>
        <v>46261</v>
      </c>
      <c r="M104" s="47" t="str">
        <f aca="false">IF(G104="","",IFERROR(maxifs($O$2:O103,$G$2:G103,G104),""))</f>
        <v/>
      </c>
      <c r="N104" s="47" t="n">
        <f aca="false">IF(G104="",L104,MAX(L104,IF(M104="",L104,WORKDAY(M104,1))))</f>
        <v>46261</v>
      </c>
      <c r="O104" s="47" t="n">
        <f aca="false">WORKDAY(N104,K104-1)</f>
        <v>46288</v>
      </c>
      <c r="P104" s="45" t="n">
        <f aca="false">MAX(0,NETWORKDAYS(L104,N104)-1)</f>
        <v>0</v>
      </c>
      <c r="Q104" s="45" t="str">
        <f aca="false">IF(P104&gt;0,"BOTTLENECK DELAY","")</f>
        <v/>
      </c>
    </row>
    <row r="105" customFormat="false" ht="15" hidden="false" customHeight="false" outlineLevel="0" collapsed="false">
      <c r="A105" s="0" t="n">
        <v>104</v>
      </c>
      <c r="B105" s="0" t="s">
        <v>108</v>
      </c>
      <c r="C105" s="44" t="n">
        <f aca="false">INDEX(Projects!$B$2:$B$100,MATCH(B105,Projects!$A$2:$A$100,0))</f>
        <v>46155</v>
      </c>
      <c r="D105" s="0" t="n">
        <v>16</v>
      </c>
      <c r="E105" s="0" t="s">
        <v>123</v>
      </c>
      <c r="F105" s="0" t="s">
        <v>21</v>
      </c>
      <c r="H105" s="0" t="s">
        <v>29</v>
      </c>
      <c r="I105" s="45" t="str">
        <f aca="false">B105&amp;"|"&amp;E105</f>
        <v>IW12|Stone</v>
      </c>
      <c r="J105" s="45" t="str">
        <f aca="false">IF(H105="","",B105&amp;"|"&amp;H105)</f>
        <v>IW12|Roofing</v>
      </c>
      <c r="K105" s="46" t="n">
        <v>20</v>
      </c>
      <c r="L105" s="47" t="n">
        <f aca="false">IF(H105="",C105,WORKDAY(INDEX($O$2:$O$2000,MATCH(J105,$I$2:$I$2000,0)),1))</f>
        <v>46261</v>
      </c>
      <c r="M105" s="47" t="str">
        <f aca="false">IF(G105="","",IFERROR(maxifs($O$2:O104,$G$2:G104,G105),""))</f>
        <v/>
      </c>
      <c r="N105" s="47" t="n">
        <f aca="false">IF(G105="",L105,MAX(L105,IF(M105="",L105,WORKDAY(M105,1))))</f>
        <v>46261</v>
      </c>
      <c r="O105" s="47" t="n">
        <f aca="false">WORKDAY(N105,K105-1)</f>
        <v>46288</v>
      </c>
      <c r="P105" s="45" t="n">
        <f aca="false">MAX(0,NETWORKDAYS(L105,N105)-1)</f>
        <v>0</v>
      </c>
      <c r="Q105" s="45" t="str">
        <f aca="false">IF(P105&gt;0,"BOTTLENECK DELAY","")</f>
        <v/>
      </c>
    </row>
    <row r="106" customFormat="false" ht="15" hidden="false" customHeight="false" outlineLevel="0" collapsed="false">
      <c r="A106" s="0" t="n">
        <v>105</v>
      </c>
      <c r="B106" s="0" t="s">
        <v>108</v>
      </c>
      <c r="C106" s="44" t="n">
        <f aca="false">INDEX(Projects!$B$2:$B$100,MATCH(B106,Projects!$A$2:$A$100,0))</f>
        <v>46155</v>
      </c>
      <c r="D106" s="0" t="n">
        <v>17</v>
      </c>
      <c r="E106" s="0" t="s">
        <v>27</v>
      </c>
      <c r="F106" s="0" t="s">
        <v>122</v>
      </c>
      <c r="H106" s="0" t="s">
        <v>29</v>
      </c>
      <c r="I106" s="45" t="str">
        <f aca="false">B106&amp;"|"&amp;E106</f>
        <v>IW12|Siding</v>
      </c>
      <c r="J106" s="45" t="str">
        <f aca="false">IF(H106="","",B106&amp;"|"&amp;H106)</f>
        <v>IW12|Roofing</v>
      </c>
      <c r="K106" s="46" t="n">
        <v>20</v>
      </c>
      <c r="L106" s="47" t="n">
        <f aca="false">IF(H106="",C106,WORKDAY(INDEX($O$2:$O$2000,MATCH(J106,$I$2:$I$2000,0)),1))</f>
        <v>46261</v>
      </c>
      <c r="M106" s="47" t="str">
        <f aca="false">IF(G106="","",IFERROR(maxifs($O$2:O105,$G$2:G105,G106),""))</f>
        <v/>
      </c>
      <c r="N106" s="47" t="n">
        <f aca="false">IF(G106="",L106,MAX(L106,IF(M106="",L106,WORKDAY(M106,1))))</f>
        <v>46261</v>
      </c>
      <c r="O106" s="47" t="n">
        <f aca="false">WORKDAY(N106,K106-1)</f>
        <v>46288</v>
      </c>
      <c r="P106" s="45" t="n">
        <f aca="false">MAX(0,NETWORKDAYS(L106,N106)-1)</f>
        <v>0</v>
      </c>
      <c r="Q106" s="45" t="str">
        <f aca="false">IF(P106&gt;0,"BOTTLENECK DELAY","")</f>
        <v/>
      </c>
    </row>
    <row r="107" customFormat="false" ht="15" hidden="false" customHeight="false" outlineLevel="0" collapsed="false">
      <c r="A107" s="0" t="n">
        <v>106</v>
      </c>
      <c r="B107" s="0" t="s">
        <v>108</v>
      </c>
      <c r="C107" s="44" t="n">
        <f aca="false">INDEX(Projects!$B$2:$B$100,MATCH(B107,Projects!$A$2:$A$100,0))</f>
        <v>46155</v>
      </c>
      <c r="D107" s="0" t="n">
        <v>18</v>
      </c>
      <c r="E107" s="0" t="s">
        <v>96</v>
      </c>
      <c r="H107" s="0" t="s">
        <v>23</v>
      </c>
      <c r="I107" s="45" t="str">
        <f aca="false">B107&amp;"|"&amp;E107</f>
        <v>IW12|Rough Grade</v>
      </c>
      <c r="J107" s="45" t="str">
        <f aca="false">IF(H107="","",B107&amp;"|"&amp;H107)</f>
        <v>IW12|Brick</v>
      </c>
      <c r="K107" s="46" t="n">
        <v>2</v>
      </c>
      <c r="L107" s="47" t="n">
        <f aca="false">IF(H107="",C107,WORKDAY(INDEX($O$2:$O$2000,MATCH(J107,$I$2:$I$2000,0)),1))</f>
        <v>46289</v>
      </c>
      <c r="M107" s="47" t="str">
        <f aca="false">IF(G107="","",IFERROR(maxifs($O$2:O106,$G$2:G106,G107),""))</f>
        <v/>
      </c>
      <c r="N107" s="47" t="n">
        <f aca="false">IF(G107="",L107,MAX(L107,IF(M107="",L107,WORKDAY(M107,1))))</f>
        <v>46289</v>
      </c>
      <c r="O107" s="47" t="n">
        <f aca="false">WORKDAY(N107,K107-1)</f>
        <v>46290</v>
      </c>
      <c r="P107" s="45" t="n">
        <f aca="false">MAX(0,NETWORKDAYS(L107,N107)-1)</f>
        <v>0</v>
      </c>
      <c r="Q107" s="45" t="str">
        <f aca="false">IF(P107&gt;0,"BOTTLENECK DELAY","")</f>
        <v/>
      </c>
    </row>
    <row r="108" customFormat="false" ht="15" hidden="false" customHeight="false" outlineLevel="0" collapsed="false">
      <c r="A108" s="0" t="n">
        <v>107</v>
      </c>
      <c r="B108" s="0" t="s">
        <v>108</v>
      </c>
      <c r="C108" s="44" t="n">
        <f aca="false">INDEX(Projects!$B$2:$B$100,MATCH(B108,Projects!$A$2:$A$100,0))</f>
        <v>46155</v>
      </c>
      <c r="D108" s="0" t="n">
        <v>19</v>
      </c>
      <c r="E108" s="0" t="s">
        <v>75</v>
      </c>
      <c r="F108" s="0" t="s">
        <v>124</v>
      </c>
      <c r="H108" s="0" t="s">
        <v>96</v>
      </c>
      <c r="I108" s="45" t="str">
        <f aca="false">B108&amp;"|"&amp;E108</f>
        <v>IW12|Irrigation</v>
      </c>
      <c r="J108" s="45" t="str">
        <f aca="false">IF(H108="","",B108&amp;"|"&amp;H108)</f>
        <v>IW12|Rough Grade</v>
      </c>
      <c r="K108" s="46" t="n">
        <v>2</v>
      </c>
      <c r="L108" s="47" t="n">
        <f aca="false">IF(H108="",C108,WORKDAY(INDEX($O$2:$O$2000,MATCH(J108,$I$2:$I$2000,0)),1))</f>
        <v>46293</v>
      </c>
      <c r="M108" s="47" t="str">
        <f aca="false">IF(G108="","",IFERROR(maxifs($O$2:O107,$G$2:G107,G108),""))</f>
        <v/>
      </c>
      <c r="N108" s="47" t="n">
        <f aca="false">IF(G108="",L108,MAX(L108,IF(M108="",L108,WORKDAY(M108,1))))</f>
        <v>46293</v>
      </c>
      <c r="O108" s="47" t="n">
        <f aca="false">WORKDAY(N108,K108-1)</f>
        <v>46294</v>
      </c>
      <c r="P108" s="45" t="n">
        <f aca="false">MAX(0,NETWORKDAYS(L108,N108)-1)</f>
        <v>0</v>
      </c>
      <c r="Q108" s="45" t="str">
        <f aca="false">IF(P108&gt;0,"BOTTLENECK DELAY","")</f>
        <v/>
      </c>
    </row>
    <row r="109" customFormat="false" ht="15" hidden="false" customHeight="false" outlineLevel="0" collapsed="false">
      <c r="A109" s="0" t="n">
        <v>108</v>
      </c>
      <c r="B109" s="0" t="s">
        <v>108</v>
      </c>
      <c r="C109" s="44" t="n">
        <f aca="false">INDEX(Projects!$B$2:$B$100,MATCH(B109,Projects!$A$2:$A$100,0))</f>
        <v>46155</v>
      </c>
      <c r="D109" s="0" t="n">
        <v>20</v>
      </c>
      <c r="E109" s="0" t="s">
        <v>71</v>
      </c>
      <c r="F109" s="0" t="s">
        <v>69</v>
      </c>
      <c r="H109" s="0" t="s">
        <v>75</v>
      </c>
      <c r="I109" s="45" t="str">
        <f aca="false">B109&amp;"|"&amp;E109</f>
        <v>IW12|Finish Grade</v>
      </c>
      <c r="J109" s="45" t="str">
        <f aca="false">IF(H109="","",B109&amp;"|"&amp;H109)</f>
        <v>IW12|Irrigation</v>
      </c>
      <c r="K109" s="46" t="n">
        <v>2</v>
      </c>
      <c r="L109" s="47" t="n">
        <f aca="false">IF(H109="",C109,WORKDAY(INDEX($O$2:$O$2000,MATCH(J109,$I$2:$I$2000,0)),1))</f>
        <v>46295</v>
      </c>
      <c r="M109" s="47" t="str">
        <f aca="false">IF(G109="","",IFERROR(maxifs($O$2:O108,$G$2:G108,G109),""))</f>
        <v/>
      </c>
      <c r="N109" s="47" t="n">
        <f aca="false">IF(G109="",L109,MAX(L109,IF(M109="",L109,WORKDAY(M109,1))))</f>
        <v>46295</v>
      </c>
      <c r="O109" s="47" t="n">
        <f aca="false">WORKDAY(N109,K109-1)</f>
        <v>46296</v>
      </c>
      <c r="P109" s="45" t="n">
        <f aca="false">MAX(0,NETWORKDAYS(L109,N109)-1)</f>
        <v>0</v>
      </c>
      <c r="Q109" s="45" t="str">
        <f aca="false">IF(P109&gt;0,"BOTTLENECK DELAY","")</f>
        <v/>
      </c>
    </row>
    <row r="110" customFormat="false" ht="15" hidden="false" customHeight="false" outlineLevel="0" collapsed="false">
      <c r="A110" s="0" t="n">
        <v>109</v>
      </c>
      <c r="B110" s="0" t="s">
        <v>108</v>
      </c>
      <c r="C110" s="44" t="n">
        <f aca="false">INDEX(Projects!$B$2:$B$100,MATCH(B110,Projects!$A$2:$A$100,0))</f>
        <v>46155</v>
      </c>
      <c r="D110" s="0" t="n">
        <v>21</v>
      </c>
      <c r="E110" s="0" t="s">
        <v>125</v>
      </c>
      <c r="F110" s="0" t="s">
        <v>69</v>
      </c>
      <c r="H110" s="0" t="s">
        <v>75</v>
      </c>
      <c r="I110" s="45" t="str">
        <f aca="false">B110&amp;"|"&amp;E110</f>
        <v>IW12|Landscaping</v>
      </c>
      <c r="J110" s="45" t="str">
        <f aca="false">IF(H110="","",B110&amp;"|"&amp;H110)</f>
        <v>IW12|Irrigation</v>
      </c>
      <c r="K110" s="46" t="n">
        <v>2</v>
      </c>
      <c r="L110" s="47" t="n">
        <f aca="false">IF(H110="",C110,WORKDAY(INDEX($O$2:$O$2000,MATCH(J110,$I$2:$I$2000,0)),1))</f>
        <v>46295</v>
      </c>
      <c r="M110" s="47" t="str">
        <f aca="false">IF(G110="","",IFERROR(maxifs($O$2:O109,$G$2:G109,G110),""))</f>
        <v/>
      </c>
      <c r="N110" s="47" t="n">
        <f aca="false">IF(G110="",L110,MAX(L110,IF(M110="",L110,WORKDAY(M110,1))))</f>
        <v>46295</v>
      </c>
      <c r="O110" s="47" t="n">
        <f aca="false">WORKDAY(N110,K110-1)</f>
        <v>46296</v>
      </c>
      <c r="P110" s="45" t="n">
        <f aca="false">MAX(0,NETWORKDAYS(L110,N110)-1)</f>
        <v>0</v>
      </c>
      <c r="Q110" s="45" t="str">
        <f aca="false">IF(P110&gt;0,"BOTTLENECK DELAY","")</f>
        <v/>
      </c>
    </row>
    <row r="111" customFormat="false" ht="15" hidden="false" customHeight="false" outlineLevel="0" collapsed="false">
      <c r="A111" s="0" t="n">
        <v>110</v>
      </c>
      <c r="B111" s="0" t="s">
        <v>108</v>
      </c>
      <c r="C111" s="44" t="n">
        <f aca="false">INDEX(Projects!$B$2:$B$100,MATCH(B111,Projects!$A$2:$A$100,0))</f>
        <v>46155</v>
      </c>
      <c r="D111" s="0" t="n">
        <v>22</v>
      </c>
      <c r="E111" s="0" t="s">
        <v>77</v>
      </c>
      <c r="F111" s="0" t="s">
        <v>76</v>
      </c>
      <c r="H111" s="0" t="s">
        <v>71</v>
      </c>
      <c r="I111" s="45" t="str">
        <f aca="false">B111&amp;"|"&amp;E111</f>
        <v>IW12|Lawn Seeding</v>
      </c>
      <c r="J111" s="45" t="str">
        <f aca="false">IF(H111="","",B111&amp;"|"&amp;H111)</f>
        <v>IW12|Finish Grade</v>
      </c>
      <c r="K111" s="46" t="n">
        <v>2</v>
      </c>
      <c r="L111" s="47" t="n">
        <f aca="false">IF(H111="",C111,WORKDAY(INDEX($O$2:$O$2000,MATCH(J111,$I$2:$I$2000,0)),1))</f>
        <v>46297</v>
      </c>
      <c r="M111" s="47" t="str">
        <f aca="false">IF(G111="","",IFERROR(maxifs($O$2:O110,$G$2:G110,G111),""))</f>
        <v/>
      </c>
      <c r="N111" s="47" t="n">
        <f aca="false">IF(G111="",L111,MAX(L111,IF(M111="",L111,WORKDAY(M111,1))))</f>
        <v>46297</v>
      </c>
      <c r="O111" s="47" t="n">
        <f aca="false">WORKDAY(N111,K111-1)</f>
        <v>46300</v>
      </c>
      <c r="P111" s="45" t="n">
        <f aca="false">MAX(0,NETWORKDAYS(L111,N111)-1)</f>
        <v>0</v>
      </c>
      <c r="Q111" s="45" t="str">
        <f aca="false">IF(P111&gt;0,"BOTTLENECK DELAY","")</f>
        <v/>
      </c>
    </row>
    <row r="112" customFormat="false" ht="15" hidden="false" customHeight="false" outlineLevel="0" collapsed="false">
      <c r="A112" s="0" t="n">
        <v>111</v>
      </c>
      <c r="B112" s="0" t="s">
        <v>108</v>
      </c>
      <c r="C112" s="44" t="n">
        <f aca="false">INDEX(Projects!$B$2:$B$100,MATCH(B112,Projects!$A$2:$A$100,0))</f>
        <v>46155</v>
      </c>
      <c r="D112" s="0" t="n">
        <v>23</v>
      </c>
      <c r="E112" s="0" t="s">
        <v>97</v>
      </c>
      <c r="H112" s="0" t="s">
        <v>96</v>
      </c>
      <c r="I112" s="45" t="str">
        <f aca="false">B112&amp;"|"&amp;E112</f>
        <v>IW12|Gutter drains</v>
      </c>
      <c r="J112" s="45" t="str">
        <f aca="false">IF(H112="","",B112&amp;"|"&amp;H112)</f>
        <v>IW12|Rough Grade</v>
      </c>
      <c r="K112" s="46" t="n">
        <v>2</v>
      </c>
      <c r="L112" s="47" t="n">
        <f aca="false">IF(H112="",C112,WORKDAY(INDEX($O$2:$O$2000,MATCH(J112,$I$2:$I$2000,0)),1))</f>
        <v>46293</v>
      </c>
      <c r="M112" s="47" t="str">
        <f aca="false">IF(G112="","",IFERROR(maxifs($O$2:O111,$G$2:G111,G112),""))</f>
        <v/>
      </c>
      <c r="N112" s="47" t="n">
        <f aca="false">IF(G112="",L112,MAX(L112,IF(M112="",L112,WORKDAY(M112,1))))</f>
        <v>46293</v>
      </c>
      <c r="O112" s="47" t="n">
        <f aca="false">WORKDAY(N112,K112-1)</f>
        <v>46294</v>
      </c>
      <c r="P112" s="45" t="n">
        <f aca="false">MAX(0,NETWORKDAYS(L112,N112)-1)</f>
        <v>0</v>
      </c>
      <c r="Q112" s="45" t="str">
        <f aca="false">IF(P112&gt;0,"BOTTLENECK DELAY","")</f>
        <v/>
      </c>
    </row>
    <row r="113" customFormat="false" ht="15" hidden="false" customHeight="false" outlineLevel="0" collapsed="false">
      <c r="A113" s="0" t="n">
        <v>112</v>
      </c>
      <c r="B113" s="0" t="s">
        <v>108</v>
      </c>
      <c r="C113" s="44" t="n">
        <f aca="false">INDEX(Projects!$B$2:$B$100,MATCH(B113,Projects!$A$2:$A$100,0))</f>
        <v>46155</v>
      </c>
      <c r="D113" s="0" t="n">
        <v>24</v>
      </c>
      <c r="E113" s="0" t="s">
        <v>37</v>
      </c>
      <c r="F113" s="0" t="s">
        <v>35</v>
      </c>
      <c r="H113" s="0" t="s">
        <v>26</v>
      </c>
      <c r="I113" s="45" t="str">
        <f aca="false">B113&amp;"|"&amp;E113</f>
        <v>IW12|HVAC Rough</v>
      </c>
      <c r="J113" s="45" t="str">
        <f aca="false">IF(H113="","",B113&amp;"|"&amp;H113)</f>
        <v>IW12|Framing</v>
      </c>
      <c r="K113" s="46" t="n">
        <v>5</v>
      </c>
      <c r="L113" s="47" t="n">
        <f aca="false">IF(H113="",C113,WORKDAY(INDEX($O$2:$O$2000,MATCH(J113,$I$2:$I$2000,0)),1))</f>
        <v>46255</v>
      </c>
      <c r="M113" s="47" t="str">
        <f aca="false">IF(G113="","",IFERROR(maxifs($O$2:O112,$G$2:G112,G113),""))</f>
        <v/>
      </c>
      <c r="N113" s="47" t="n">
        <f aca="false">IF(G113="",L113,MAX(L113,IF(M113="",L113,WORKDAY(M113,1))))</f>
        <v>46255</v>
      </c>
      <c r="O113" s="47" t="n">
        <f aca="false">WORKDAY(N113,K113-1)</f>
        <v>46261</v>
      </c>
      <c r="P113" s="45" t="n">
        <f aca="false">MAX(0,NETWORKDAYS(L113,N113)-1)</f>
        <v>0</v>
      </c>
      <c r="Q113" s="45" t="str">
        <f aca="false">IF(P113&gt;0,"BOTTLENECK DELAY","")</f>
        <v/>
      </c>
    </row>
    <row r="114" customFormat="false" ht="15" hidden="false" customHeight="false" outlineLevel="0" collapsed="false">
      <c r="A114" s="0" t="n">
        <v>113</v>
      </c>
      <c r="B114" s="0" t="s">
        <v>108</v>
      </c>
      <c r="C114" s="44" t="n">
        <f aca="false">INDEX(Projects!$B$2:$B$100,MATCH(B114,Projects!$A$2:$A$100,0))</f>
        <v>46155</v>
      </c>
      <c r="D114" s="0" t="n">
        <v>25</v>
      </c>
      <c r="E114" s="0" t="s">
        <v>41</v>
      </c>
      <c r="F114" s="0" t="s">
        <v>39</v>
      </c>
      <c r="G114" s="0" t="s">
        <v>39</v>
      </c>
      <c r="H114" s="0" t="s">
        <v>26</v>
      </c>
      <c r="I114" s="45" t="str">
        <f aca="false">B114&amp;"|"&amp;E114</f>
        <v>IW12|Plumbing Rough</v>
      </c>
      <c r="J114" s="45" t="str">
        <f aca="false">IF(H114="","",B114&amp;"|"&amp;H114)</f>
        <v>IW12|Framing</v>
      </c>
      <c r="K114" s="46" t="n">
        <v>5</v>
      </c>
      <c r="L114" s="47" t="n">
        <f aca="false">IF(H114="",C114,WORKDAY(INDEX($O$2:$O$2000,MATCH(J114,$I$2:$I$2000,0)),1))</f>
        <v>46255</v>
      </c>
      <c r="M114" s="47" t="str">
        <f aca="false">IF(G114="","",IFERROR(maxifs($O$2:O113,$G$2:G113,G114),""))</f>
        <v/>
      </c>
      <c r="N114" s="47" t="n">
        <f aca="false">IF(G114="",L114,MAX(L114,IF(M114="",L114,WORKDAY(M114,1))))</f>
        <v>46255</v>
      </c>
      <c r="O114" s="47" t="n">
        <f aca="false">WORKDAY(N114,K114-1)</f>
        <v>46261</v>
      </c>
      <c r="P114" s="45" t="n">
        <f aca="false">MAX(0,NETWORKDAYS(L114,N114)-1)</f>
        <v>0</v>
      </c>
      <c r="Q114" s="45" t="str">
        <f aca="false">IF(P114&gt;0,"BOTTLENECK DELAY","")</f>
        <v/>
      </c>
    </row>
    <row r="115" customFormat="false" ht="15" hidden="false" customHeight="false" outlineLevel="0" collapsed="false">
      <c r="A115" s="0" t="n">
        <v>114</v>
      </c>
      <c r="B115" s="0" t="s">
        <v>108</v>
      </c>
      <c r="C115" s="44" t="n">
        <f aca="false">INDEX(Projects!$B$2:$B$100,MATCH(B115,Projects!$A$2:$A$100,0))</f>
        <v>46155</v>
      </c>
      <c r="D115" s="0" t="n">
        <v>26</v>
      </c>
      <c r="E115" s="0" t="s">
        <v>32</v>
      </c>
      <c r="F115" s="0" t="s">
        <v>30</v>
      </c>
      <c r="H115" s="0" t="s">
        <v>26</v>
      </c>
      <c r="I115" s="45" t="str">
        <f aca="false">B115&amp;"|"&amp;E115</f>
        <v>IW12|Electrical Rough</v>
      </c>
      <c r="J115" s="45" t="str">
        <f aca="false">IF(H115="","",B115&amp;"|"&amp;H115)</f>
        <v>IW12|Framing</v>
      </c>
      <c r="K115" s="46" t="n">
        <v>10</v>
      </c>
      <c r="L115" s="47" t="n">
        <f aca="false">IF(H115="",C115,WORKDAY(INDEX($O$2:$O$2000,MATCH(J115,$I$2:$I$2000,0)),1))</f>
        <v>46255</v>
      </c>
      <c r="M115" s="47" t="str">
        <f aca="false">IF(G115="","",IFERROR(maxifs($O$2:O114,$G$2:G114,G115),""))</f>
        <v/>
      </c>
      <c r="N115" s="47" t="n">
        <f aca="false">IF(G115="",L115,MAX(L115,IF(M115="",L115,WORKDAY(M115,1))))</f>
        <v>46255</v>
      </c>
      <c r="O115" s="47" t="n">
        <f aca="false">WORKDAY(N115,K115-1)</f>
        <v>46268</v>
      </c>
      <c r="P115" s="45" t="n">
        <f aca="false">MAX(0,NETWORKDAYS(L115,N115)-1)</f>
        <v>0</v>
      </c>
      <c r="Q115" s="45" t="str">
        <f aca="false">IF(P115&gt;0,"BOTTLENECK DELAY","")</f>
        <v/>
      </c>
    </row>
    <row r="116" customFormat="false" ht="15" hidden="false" customHeight="false" outlineLevel="0" collapsed="false">
      <c r="A116" s="0" t="n">
        <v>115</v>
      </c>
      <c r="B116" s="0" t="s">
        <v>108</v>
      </c>
      <c r="C116" s="44" t="n">
        <f aca="false">INDEX(Projects!$B$2:$B$100,MATCH(B116,Projects!$A$2:$A$100,0))</f>
        <v>46155</v>
      </c>
      <c r="D116" s="0" t="n">
        <v>27</v>
      </c>
      <c r="E116" s="0" t="s">
        <v>48</v>
      </c>
      <c r="F116" s="0" t="s">
        <v>46</v>
      </c>
      <c r="H116" s="0" t="s">
        <v>32</v>
      </c>
      <c r="I116" s="45" t="str">
        <f aca="false">B116&amp;"|"&amp;E116</f>
        <v>IW12|Insulation Walls</v>
      </c>
      <c r="J116" s="45" t="str">
        <f aca="false">IF(H116="","",B116&amp;"|"&amp;H116)</f>
        <v>IW12|Electrical Rough</v>
      </c>
      <c r="K116" s="46" t="n">
        <v>2</v>
      </c>
      <c r="L116" s="47" t="n">
        <f aca="false">IF(H116="",C116,WORKDAY(INDEX($O$2:$O$2000,MATCH(J116,$I$2:$I$2000,0)),1))</f>
        <v>46269</v>
      </c>
      <c r="M116" s="47" t="str">
        <f aca="false">IF(G116="","",IFERROR(maxifs($O$2:O115,$G$2:G115,G116),""))</f>
        <v/>
      </c>
      <c r="N116" s="47" t="n">
        <f aca="false">IF(G116="",L116,MAX(L116,IF(M116="",L116,WORKDAY(M116,1))))</f>
        <v>46269</v>
      </c>
      <c r="O116" s="47" t="n">
        <f aca="false">WORKDAY(N116,K116-1)</f>
        <v>46272</v>
      </c>
      <c r="P116" s="45" t="n">
        <f aca="false">MAX(0,NETWORKDAYS(L116,N116)-1)</f>
        <v>0</v>
      </c>
      <c r="Q116" s="45" t="str">
        <f aca="false">IF(P116&gt;0,"BOTTLENECK DELAY","")</f>
        <v/>
      </c>
    </row>
    <row r="117" customFormat="false" ht="15" hidden="false" customHeight="false" outlineLevel="0" collapsed="false">
      <c r="A117" s="0" t="n">
        <v>116</v>
      </c>
      <c r="B117" s="0" t="s">
        <v>108</v>
      </c>
      <c r="C117" s="44" t="n">
        <f aca="false">INDEX(Projects!$B$2:$B$100,MATCH(B117,Projects!$A$2:$A$100,0))</f>
        <v>46155</v>
      </c>
      <c r="D117" s="0" t="n">
        <v>28</v>
      </c>
      <c r="E117" s="0" t="s">
        <v>51</v>
      </c>
      <c r="F117" s="0" t="s">
        <v>50</v>
      </c>
      <c r="H117" s="0" t="s">
        <v>48</v>
      </c>
      <c r="I117" s="45" t="str">
        <f aca="false">B117&amp;"|"&amp;E117</f>
        <v>IW12|Sheetrock</v>
      </c>
      <c r="J117" s="45" t="str">
        <f aca="false">IF(H117="","",B117&amp;"|"&amp;H117)</f>
        <v>IW12|Insulation Walls</v>
      </c>
      <c r="K117" s="46" t="n">
        <v>15</v>
      </c>
      <c r="L117" s="47" t="n">
        <f aca="false">IF(H117="",C117,WORKDAY(INDEX($O$2:$O$2000,MATCH(J117,$I$2:$I$2000,0)),1))</f>
        <v>46273</v>
      </c>
      <c r="M117" s="47" t="str">
        <f aca="false">IF(G117="","",IFERROR(maxifs($O$2:O116,$G$2:G116,G117),""))</f>
        <v/>
      </c>
      <c r="N117" s="47" t="n">
        <f aca="false">IF(G117="",L117,MAX(L117,IF(M117="",L117,WORKDAY(M117,1))))</f>
        <v>46273</v>
      </c>
      <c r="O117" s="47" t="n">
        <f aca="false">WORKDAY(N117,K117-1)</f>
        <v>46293</v>
      </c>
      <c r="P117" s="45" t="n">
        <f aca="false">MAX(0,NETWORKDAYS(L117,N117)-1)</f>
        <v>0</v>
      </c>
      <c r="Q117" s="45" t="str">
        <f aca="false">IF(P117&gt;0,"BOTTLENECK DELAY","")</f>
        <v/>
      </c>
    </row>
    <row r="118" customFormat="false" ht="15" hidden="false" customHeight="false" outlineLevel="0" collapsed="false">
      <c r="A118" s="0" t="n">
        <v>117</v>
      </c>
      <c r="B118" s="0" t="s">
        <v>108</v>
      </c>
      <c r="C118" s="44" t="n">
        <f aca="false">INDEX(Projects!$B$2:$B$100,MATCH(B118,Projects!$A$2:$A$100,0))</f>
        <v>46155</v>
      </c>
      <c r="D118" s="0" t="n">
        <v>29</v>
      </c>
      <c r="E118" s="0" t="s">
        <v>60</v>
      </c>
      <c r="F118" s="0" t="s">
        <v>59</v>
      </c>
      <c r="H118" s="0" t="s">
        <v>51</v>
      </c>
      <c r="I118" s="45" t="str">
        <f aca="false">B118&amp;"|"&amp;E118</f>
        <v>IW12|Painting Primer</v>
      </c>
      <c r="J118" s="45" t="str">
        <f aca="false">IF(H118="","",B118&amp;"|"&amp;H118)</f>
        <v>IW12|Sheetrock</v>
      </c>
      <c r="K118" s="46" t="n">
        <v>3</v>
      </c>
      <c r="L118" s="47" t="n">
        <f aca="false">IF(H118="",C118,WORKDAY(INDEX($O$2:$O$2000,MATCH(J118,$I$2:$I$2000,0)),1))</f>
        <v>46294</v>
      </c>
      <c r="M118" s="47" t="str">
        <f aca="false">IF(G118="","",IFERROR(maxifs($O$2:O117,$G$2:G117,G118),""))</f>
        <v/>
      </c>
      <c r="N118" s="47" t="n">
        <f aca="false">IF(G118="",L118,MAX(L118,IF(M118="",L118,WORKDAY(M118,1))))</f>
        <v>46294</v>
      </c>
      <c r="O118" s="47" t="n">
        <f aca="false">WORKDAY(N118,K118-1)</f>
        <v>46296</v>
      </c>
      <c r="P118" s="45" t="n">
        <f aca="false">MAX(0,NETWORKDAYS(L118,N118)-1)</f>
        <v>0</v>
      </c>
      <c r="Q118" s="45" t="str">
        <f aca="false">IF(P118&gt;0,"BOTTLENECK DELAY","")</f>
        <v/>
      </c>
    </row>
    <row r="119" customFormat="false" ht="15" hidden="false" customHeight="false" outlineLevel="0" collapsed="false">
      <c r="A119" s="0" t="n">
        <v>118</v>
      </c>
      <c r="B119" s="0" t="s">
        <v>108</v>
      </c>
      <c r="C119" s="44" t="n">
        <f aca="false">INDEX(Projects!$B$2:$B$100,MATCH(B119,Projects!$A$2:$A$100,0))</f>
        <v>46155</v>
      </c>
      <c r="D119" s="0" t="n">
        <v>30</v>
      </c>
      <c r="E119" s="0" t="s">
        <v>53</v>
      </c>
      <c r="F119" s="0" t="s">
        <v>52</v>
      </c>
      <c r="H119" s="0" t="s">
        <v>60</v>
      </c>
      <c r="I119" s="45" t="str">
        <f aca="false">B119&amp;"|"&amp;E119</f>
        <v>IW12|Garage Doors</v>
      </c>
      <c r="J119" s="45" t="str">
        <f aca="false">IF(H119="","",B119&amp;"|"&amp;H119)</f>
        <v>IW12|Painting Primer</v>
      </c>
      <c r="K119" s="46" t="n">
        <v>2</v>
      </c>
      <c r="L119" s="47" t="n">
        <f aca="false">IF(H119="",C119,WORKDAY(INDEX($O$2:$O$2000,MATCH(J119,$I$2:$I$2000,0)),1))</f>
        <v>46297</v>
      </c>
      <c r="M119" s="47" t="str">
        <f aca="false">IF(G119="","",IFERROR(maxifs($O$2:O118,$G$2:G118,G119),""))</f>
        <v/>
      </c>
      <c r="N119" s="47" t="n">
        <f aca="false">IF(G119="",L119,MAX(L119,IF(M119="",L119,WORKDAY(M119,1))))</f>
        <v>46297</v>
      </c>
      <c r="O119" s="47" t="n">
        <f aca="false">WORKDAY(N119,K119-1)</f>
        <v>46300</v>
      </c>
      <c r="P119" s="45" t="n">
        <f aca="false">MAX(0,NETWORKDAYS(L119,N119)-1)</f>
        <v>0</v>
      </c>
      <c r="Q119" s="45" t="str">
        <f aca="false">IF(P119&gt;0,"BOTTLENECK DELAY","")</f>
        <v/>
      </c>
    </row>
    <row r="120" customFormat="false" ht="15" hidden="false" customHeight="false" outlineLevel="0" collapsed="false">
      <c r="A120" s="0" t="n">
        <v>119</v>
      </c>
      <c r="B120" s="0" t="s">
        <v>108</v>
      </c>
      <c r="C120" s="44" t="n">
        <f aca="false">INDEX(Projects!$B$2:$B$100,MATCH(B120,Projects!$A$2:$A$100,0))</f>
        <v>46155</v>
      </c>
      <c r="D120" s="0" t="n">
        <v>31</v>
      </c>
      <c r="E120" s="0" t="s">
        <v>44</v>
      </c>
      <c r="F120" s="0" t="s">
        <v>43</v>
      </c>
      <c r="H120" s="0" t="s">
        <v>60</v>
      </c>
      <c r="I120" s="45" t="str">
        <f aca="false">B120&amp;"|"&amp;E120</f>
        <v>IW12|Flooring</v>
      </c>
      <c r="J120" s="45" t="str">
        <f aca="false">IF(H120="","",B120&amp;"|"&amp;H120)</f>
        <v>IW12|Painting Primer</v>
      </c>
      <c r="K120" s="46" t="n">
        <v>5</v>
      </c>
      <c r="L120" s="47" t="n">
        <f aca="false">IF(H120="",C120,WORKDAY(INDEX($O$2:$O$2000,MATCH(J120,$I$2:$I$2000,0)),1))</f>
        <v>46297</v>
      </c>
      <c r="M120" s="47" t="str">
        <f aca="false">IF(G120="","",IFERROR(maxifs($O$2:O119,$G$2:G119,G120),""))</f>
        <v/>
      </c>
      <c r="N120" s="47" t="n">
        <f aca="false">IF(G120="",L120,MAX(L120,IF(M120="",L120,WORKDAY(M120,1))))</f>
        <v>46297</v>
      </c>
      <c r="O120" s="47" t="n">
        <f aca="false">WORKDAY(N120,K120-1)</f>
        <v>46303</v>
      </c>
      <c r="P120" s="45" t="n">
        <f aca="false">MAX(0,NETWORKDAYS(L120,N120)-1)</f>
        <v>0</v>
      </c>
      <c r="Q120" s="45" t="str">
        <f aca="false">IF(P120&gt;0,"BOTTLENECK DELAY","")</f>
        <v/>
      </c>
    </row>
    <row r="121" customFormat="false" ht="15" hidden="false" customHeight="false" outlineLevel="0" collapsed="false">
      <c r="A121" s="0" t="n">
        <v>120</v>
      </c>
      <c r="B121" s="0" t="s">
        <v>108</v>
      </c>
      <c r="C121" s="44" t="n">
        <f aca="false">INDEX(Projects!$B$2:$B$100,MATCH(B121,Projects!$A$2:$A$100,0))</f>
        <v>46155</v>
      </c>
      <c r="D121" s="0" t="n">
        <v>32</v>
      </c>
      <c r="E121" s="0" t="s">
        <v>45</v>
      </c>
      <c r="F121" s="0" t="s">
        <v>43</v>
      </c>
      <c r="H121" s="0" t="s">
        <v>60</v>
      </c>
      <c r="I121" s="45" t="str">
        <f aca="false">B121&amp;"|"&amp;E121</f>
        <v>IW12|Tile Work</v>
      </c>
      <c r="J121" s="45" t="str">
        <f aca="false">IF(H121="","",B121&amp;"|"&amp;H121)</f>
        <v>IW12|Painting Primer</v>
      </c>
      <c r="K121" s="46" t="n">
        <v>8</v>
      </c>
      <c r="L121" s="47" t="n">
        <f aca="false">IF(H121="",C121,WORKDAY(INDEX($O$2:$O$2000,MATCH(J121,$I$2:$I$2000,0)),1))</f>
        <v>46297</v>
      </c>
      <c r="M121" s="47" t="str">
        <f aca="false">IF(G121="","",IFERROR(maxifs($O$2:O120,$G$2:G120,G121),""))</f>
        <v/>
      </c>
      <c r="N121" s="47" t="n">
        <f aca="false">IF(G121="",L121,MAX(L121,IF(M121="",L121,WORKDAY(M121,1))))</f>
        <v>46297</v>
      </c>
      <c r="O121" s="47" t="n">
        <f aca="false">WORKDAY(N121,K121-1)</f>
        <v>46308</v>
      </c>
      <c r="P121" s="45" t="n">
        <f aca="false">MAX(0,NETWORKDAYS(L121,N121)-1)</f>
        <v>0</v>
      </c>
      <c r="Q121" s="45" t="str">
        <f aca="false">IF(P121&gt;0,"BOTTLENECK DELAY","")</f>
        <v/>
      </c>
    </row>
    <row r="122" customFormat="false" ht="15" hidden="false" customHeight="false" outlineLevel="0" collapsed="false">
      <c r="A122" s="0" t="n">
        <v>121</v>
      </c>
      <c r="B122" s="0" t="s">
        <v>108</v>
      </c>
      <c r="C122" s="44" t="n">
        <f aca="false">INDEX(Projects!$B$2:$B$100,MATCH(B122,Projects!$A$2:$A$100,0))</f>
        <v>46155</v>
      </c>
      <c r="D122" s="0" t="n">
        <v>33</v>
      </c>
      <c r="E122" s="0" t="s">
        <v>126</v>
      </c>
      <c r="F122" s="0" t="s">
        <v>56</v>
      </c>
      <c r="G122" s="0" t="s">
        <v>56</v>
      </c>
      <c r="H122" s="0" t="s">
        <v>44</v>
      </c>
      <c r="I122" s="45" t="str">
        <f aca="false">B122&amp;"|"&amp;E122</f>
        <v>IW12|Trim Interior</v>
      </c>
      <c r="J122" s="45" t="str">
        <f aca="false">IF(H122="","",B122&amp;"|"&amp;H122)</f>
        <v>IW12|Flooring</v>
      </c>
      <c r="K122" s="46" t="n">
        <v>20</v>
      </c>
      <c r="L122" s="47" t="n">
        <f aca="false">IF(H122="",C122,WORKDAY(INDEX($O$2:$O$2000,MATCH(J122,$I$2:$I$2000,0)),1))</f>
        <v>46304</v>
      </c>
      <c r="M122" s="47" t="str">
        <f aca="false">IF(G122="","",IFERROR(maxifs($O$2:O121,$G$2:G121,G122),""))</f>
        <v/>
      </c>
      <c r="N122" s="47" t="n">
        <f aca="false">IF(G122="",L122,MAX(L122,IF(M122="",L122,WORKDAY(M122,1))))</f>
        <v>46304</v>
      </c>
      <c r="O122" s="47" t="n">
        <f aca="false">WORKDAY(N122,K122-1)</f>
        <v>46331</v>
      </c>
      <c r="P122" s="45" t="n">
        <f aca="false">MAX(0,NETWORKDAYS(L122,N122)-1)</f>
        <v>0</v>
      </c>
      <c r="Q122" s="45" t="str">
        <f aca="false">IF(P122&gt;0,"BOTTLENECK DELAY","")</f>
        <v/>
      </c>
    </row>
    <row r="123" customFormat="false" ht="15" hidden="false" customHeight="false" outlineLevel="0" collapsed="false">
      <c r="A123" s="0" t="n">
        <v>122</v>
      </c>
      <c r="B123" s="0" t="s">
        <v>108</v>
      </c>
      <c r="C123" s="44" t="n">
        <f aca="false">INDEX(Projects!$B$2:$B$100,MATCH(B123,Projects!$A$2:$A$100,0))</f>
        <v>46155</v>
      </c>
      <c r="D123" s="0" t="n">
        <v>34</v>
      </c>
      <c r="E123" s="0" t="s">
        <v>58</v>
      </c>
      <c r="F123" s="0" t="s">
        <v>56</v>
      </c>
      <c r="G123" s="0" t="s">
        <v>56</v>
      </c>
      <c r="H123" s="0" t="s">
        <v>27</v>
      </c>
      <c r="I123" s="45" t="str">
        <f aca="false">B123&amp;"|"&amp;E123</f>
        <v>IW12|Trim Exterior</v>
      </c>
      <c r="J123" s="45" t="str">
        <f aca="false">IF(H123="","",B123&amp;"|"&amp;H123)</f>
        <v>IW12|Siding</v>
      </c>
      <c r="K123" s="46" t="n">
        <v>2</v>
      </c>
      <c r="L123" s="47" t="n">
        <f aca="false">IF(H123="",C123,WORKDAY(INDEX($O$2:$O$2000,MATCH(J123,$I$2:$I$2000,0)),1))</f>
        <v>46289</v>
      </c>
      <c r="M123" s="47" t="str">
        <f aca="false">IF(G123="","",IFERROR(maxifs($O$2:O122,$G$2:G122,G123),""))</f>
        <v/>
      </c>
      <c r="N123" s="47" t="n">
        <f aca="false">IF(G123="",L123,MAX(L123,IF(M123="",L123,WORKDAY(M123,1))))</f>
        <v>46289</v>
      </c>
      <c r="O123" s="47" t="n">
        <f aca="false">WORKDAY(N123,K123-1)</f>
        <v>46290</v>
      </c>
      <c r="P123" s="45" t="n">
        <f aca="false">MAX(0,NETWORKDAYS(L123,N123)-1)</f>
        <v>0</v>
      </c>
      <c r="Q123" s="45" t="str">
        <f aca="false">IF(P123&gt;0,"BOTTLENECK DELAY","")</f>
        <v/>
      </c>
    </row>
    <row r="124" customFormat="false" ht="15" hidden="false" customHeight="false" outlineLevel="0" collapsed="false">
      <c r="A124" s="0" t="n">
        <v>123</v>
      </c>
      <c r="B124" s="0" t="s">
        <v>108</v>
      </c>
      <c r="C124" s="44" t="n">
        <f aca="false">INDEX(Projects!$B$2:$B$100,MATCH(B124,Projects!$A$2:$A$100,0))</f>
        <v>46155</v>
      </c>
      <c r="D124" s="0" t="n">
        <v>35</v>
      </c>
      <c r="E124" s="0" t="s">
        <v>64</v>
      </c>
      <c r="F124" s="0" t="s">
        <v>63</v>
      </c>
      <c r="H124" s="0" t="s">
        <v>44</v>
      </c>
      <c r="I124" s="45" t="str">
        <f aca="false">B124&amp;"|"&amp;E124</f>
        <v>IW12|Cabinets</v>
      </c>
      <c r="J124" s="45" t="str">
        <f aca="false">IF(H124="","",B124&amp;"|"&amp;H124)</f>
        <v>IW12|Flooring</v>
      </c>
      <c r="K124" s="46" t="n">
        <v>3</v>
      </c>
      <c r="L124" s="47" t="n">
        <f aca="false">IF(H124="",C124,WORKDAY(INDEX($O$2:$O$2000,MATCH(J124,$I$2:$I$2000,0)),1))</f>
        <v>46304</v>
      </c>
      <c r="M124" s="47" t="str">
        <f aca="false">IF(G124="","",IFERROR(maxifs($O$2:O123,$G$2:G123,G124),""))</f>
        <v/>
      </c>
      <c r="N124" s="47" t="n">
        <f aca="false">IF(G124="",L124,MAX(L124,IF(M124="",L124,WORKDAY(M124,1))))</f>
        <v>46304</v>
      </c>
      <c r="O124" s="47" t="n">
        <f aca="false">WORKDAY(N124,K124-1)</f>
        <v>46308</v>
      </c>
      <c r="P124" s="45" t="n">
        <f aca="false">MAX(0,NETWORKDAYS(L124,N124)-1)</f>
        <v>0</v>
      </c>
      <c r="Q124" s="45" t="str">
        <f aca="false">IF(P124&gt;0,"BOTTLENECK DELAY","")</f>
        <v/>
      </c>
    </row>
    <row r="125" customFormat="false" ht="15" hidden="false" customHeight="false" outlineLevel="0" collapsed="false">
      <c r="A125" s="0" t="n">
        <v>124</v>
      </c>
      <c r="B125" s="0" t="s">
        <v>108</v>
      </c>
      <c r="C125" s="44" t="n">
        <f aca="false">INDEX(Projects!$B$2:$B$100,MATCH(B125,Projects!$A$2:$A$100,0))</f>
        <v>46155</v>
      </c>
      <c r="D125" s="0" t="n">
        <v>36</v>
      </c>
      <c r="E125" s="0" t="s">
        <v>66</v>
      </c>
      <c r="F125" s="0" t="s">
        <v>65</v>
      </c>
      <c r="H125" s="0" t="s">
        <v>64</v>
      </c>
      <c r="I125" s="45" t="str">
        <f aca="false">B125&amp;"|"&amp;E125</f>
        <v>IW12|Countertops</v>
      </c>
      <c r="J125" s="45" t="str">
        <f aca="false">IF(H125="","",B125&amp;"|"&amp;H125)</f>
        <v>IW12|Cabinets</v>
      </c>
      <c r="K125" s="46" t="n">
        <v>2</v>
      </c>
      <c r="L125" s="47" t="n">
        <f aca="false">IF(H125="",C125,WORKDAY(INDEX($O$2:$O$2000,MATCH(J125,$I$2:$I$2000,0)),1))</f>
        <v>46309</v>
      </c>
      <c r="M125" s="47" t="str">
        <f aca="false">IF(G125="","",IFERROR(maxifs($O$2:O124,$G$2:G124,G125),""))</f>
        <v/>
      </c>
      <c r="N125" s="47" t="n">
        <f aca="false">IF(G125="",L125,MAX(L125,IF(M125="",L125,WORKDAY(M125,1))))</f>
        <v>46309</v>
      </c>
      <c r="O125" s="47" t="n">
        <f aca="false">WORKDAY(N125,K125-1)</f>
        <v>46310</v>
      </c>
      <c r="P125" s="45" t="n">
        <f aca="false">MAX(0,NETWORKDAYS(L125,N125)-1)</f>
        <v>0</v>
      </c>
      <c r="Q125" s="45" t="str">
        <f aca="false">IF(P125&gt;0,"BOTTLENECK DELAY","")</f>
        <v/>
      </c>
    </row>
    <row r="126" customFormat="false" ht="15" hidden="false" customHeight="false" outlineLevel="0" collapsed="false">
      <c r="A126" s="0" t="n">
        <v>125</v>
      </c>
      <c r="B126" s="0" t="s">
        <v>108</v>
      </c>
      <c r="C126" s="44" t="n">
        <f aca="false">INDEX(Projects!$B$2:$B$100,MATCH(B126,Projects!$A$2:$A$100,0))</f>
        <v>46155</v>
      </c>
      <c r="D126" s="0" t="n">
        <v>37</v>
      </c>
      <c r="E126" s="0" t="s">
        <v>61</v>
      </c>
      <c r="F126" s="0" t="s">
        <v>59</v>
      </c>
      <c r="H126" s="0" t="s">
        <v>66</v>
      </c>
      <c r="I126" s="45" t="str">
        <f aca="false">B126&amp;"|"&amp;E126</f>
        <v>IW12|Painting Main</v>
      </c>
      <c r="J126" s="45" t="str">
        <f aca="false">IF(H126="","",B126&amp;"|"&amp;H126)</f>
        <v>IW12|Countertops</v>
      </c>
      <c r="K126" s="46" t="n">
        <v>10</v>
      </c>
      <c r="L126" s="47" t="n">
        <f aca="false">IF(H126="",C126,WORKDAY(INDEX($O$2:$O$2000,MATCH(J126,$I$2:$I$2000,0)),1))</f>
        <v>46311</v>
      </c>
      <c r="M126" s="47" t="str">
        <f aca="false">IF(G126="","",IFERROR(maxifs($O$2:O125,$G$2:G125,G126),""))</f>
        <v/>
      </c>
      <c r="N126" s="47" t="n">
        <f aca="false">IF(G126="",L126,MAX(L126,IF(M126="",L126,WORKDAY(M126,1))))</f>
        <v>46311</v>
      </c>
      <c r="O126" s="47" t="n">
        <f aca="false">WORKDAY(N126,K126-1)</f>
        <v>46324</v>
      </c>
      <c r="P126" s="45" t="n">
        <f aca="false">MAX(0,NETWORKDAYS(L126,N126)-1)</f>
        <v>0</v>
      </c>
      <c r="Q126" s="45" t="str">
        <f aca="false">IF(P126&gt;0,"BOTTLENECK DELAY","")</f>
        <v/>
      </c>
    </row>
    <row r="127" customFormat="false" ht="15" hidden="false" customHeight="false" outlineLevel="0" collapsed="false">
      <c r="A127" s="0" t="n">
        <v>126</v>
      </c>
      <c r="B127" s="0" t="s">
        <v>108</v>
      </c>
      <c r="C127" s="44" t="n">
        <f aca="false">INDEX(Projects!$B$2:$B$100,MATCH(B127,Projects!$A$2:$A$100,0))</f>
        <v>46155</v>
      </c>
      <c r="D127" s="0" t="n">
        <v>38</v>
      </c>
      <c r="E127" s="0" t="s">
        <v>34</v>
      </c>
      <c r="F127" s="0" t="s">
        <v>30</v>
      </c>
      <c r="H127" s="0" t="s">
        <v>66</v>
      </c>
      <c r="I127" s="45" t="str">
        <f aca="false">B127&amp;"|"&amp;E127</f>
        <v>IW12|Appliances</v>
      </c>
      <c r="J127" s="45" t="str">
        <f aca="false">IF(H127="","",B127&amp;"|"&amp;H127)</f>
        <v>IW12|Countertops</v>
      </c>
      <c r="K127" s="46" t="n">
        <v>2</v>
      </c>
      <c r="L127" s="47" t="n">
        <f aca="false">IF(H127="",C127,WORKDAY(INDEX($O$2:$O$2000,MATCH(J127,$I$2:$I$2000,0)),1))</f>
        <v>46311</v>
      </c>
      <c r="M127" s="47" t="str">
        <f aca="false">IF(G127="","",IFERROR(maxifs($O$2:O126,$G$2:G126,G127),""))</f>
        <v/>
      </c>
      <c r="N127" s="47" t="n">
        <f aca="false">IF(G127="",L127,MAX(L127,IF(M127="",L127,WORKDAY(M127,1))))</f>
        <v>46311</v>
      </c>
      <c r="O127" s="47" t="n">
        <f aca="false">WORKDAY(N127,K127-1)</f>
        <v>46314</v>
      </c>
      <c r="P127" s="45" t="n">
        <f aca="false">MAX(0,NETWORKDAYS(L127,N127)-1)</f>
        <v>0</v>
      </c>
      <c r="Q127" s="45" t="str">
        <f aca="false">IF(P127&gt;0,"BOTTLENECK DELAY","")</f>
        <v/>
      </c>
    </row>
    <row r="128" customFormat="false" ht="15" hidden="false" customHeight="false" outlineLevel="0" collapsed="false">
      <c r="A128" s="0" t="n">
        <v>127</v>
      </c>
      <c r="B128" s="0" t="s">
        <v>108</v>
      </c>
      <c r="C128" s="44" t="n">
        <f aca="false">INDEX(Projects!$B$2:$B$100,MATCH(B128,Projects!$A$2:$A$100,0))</f>
        <v>46155</v>
      </c>
      <c r="D128" s="0" t="n">
        <v>39</v>
      </c>
      <c r="E128" s="0" t="s">
        <v>38</v>
      </c>
      <c r="F128" s="0" t="s">
        <v>35</v>
      </c>
      <c r="H128" s="0" t="s">
        <v>61</v>
      </c>
      <c r="I128" s="45" t="str">
        <f aca="false">B128&amp;"|"&amp;E128</f>
        <v>IW12|HVAC Finish</v>
      </c>
      <c r="J128" s="45" t="str">
        <f aca="false">IF(H128="","",B128&amp;"|"&amp;H128)</f>
        <v>IW12|Painting Main</v>
      </c>
      <c r="K128" s="46" t="n">
        <v>2</v>
      </c>
      <c r="L128" s="47" t="n">
        <f aca="false">IF(H128="",C128,WORKDAY(INDEX($O$2:$O$2000,MATCH(J128,$I$2:$I$2000,0)),1))</f>
        <v>46325</v>
      </c>
      <c r="M128" s="47" t="str">
        <f aca="false">IF(G128="","",IFERROR(maxifs($O$2:O127,$G$2:G127,G128),""))</f>
        <v/>
      </c>
      <c r="N128" s="47" t="n">
        <f aca="false">IF(G128="",L128,MAX(L128,IF(M128="",L128,WORKDAY(M128,1))))</f>
        <v>46325</v>
      </c>
      <c r="O128" s="47" t="n">
        <f aca="false">WORKDAY(N128,K128-1)</f>
        <v>46328</v>
      </c>
      <c r="P128" s="45" t="n">
        <f aca="false">MAX(0,NETWORKDAYS(L128,N128)-1)</f>
        <v>0</v>
      </c>
      <c r="Q128" s="45" t="str">
        <f aca="false">IF(P128&gt;0,"BOTTLENECK DELAY","")</f>
        <v/>
      </c>
    </row>
    <row r="129" customFormat="false" ht="15" hidden="false" customHeight="false" outlineLevel="0" collapsed="false">
      <c r="A129" s="0" t="n">
        <v>128</v>
      </c>
      <c r="B129" s="0" t="s">
        <v>108</v>
      </c>
      <c r="C129" s="44" t="n">
        <f aca="false">INDEX(Projects!$B$2:$B$100,MATCH(B129,Projects!$A$2:$A$100,0))</f>
        <v>46155</v>
      </c>
      <c r="D129" s="0" t="n">
        <v>40</v>
      </c>
      <c r="E129" s="0" t="s">
        <v>42</v>
      </c>
      <c r="F129" s="0" t="s">
        <v>39</v>
      </c>
      <c r="G129" s="0" t="s">
        <v>39</v>
      </c>
      <c r="H129" s="0" t="s">
        <v>66</v>
      </c>
      <c r="I129" s="45" t="str">
        <f aca="false">B129&amp;"|"&amp;E129</f>
        <v>IW12|Plumbing Finish</v>
      </c>
      <c r="J129" s="45" t="str">
        <f aca="false">IF(H129="","",B129&amp;"|"&amp;H129)</f>
        <v>IW12|Countertops</v>
      </c>
      <c r="K129" s="46" t="n">
        <v>2</v>
      </c>
      <c r="L129" s="47" t="n">
        <f aca="false">IF(H129="",C129,WORKDAY(INDEX($O$2:$O$2000,MATCH(J129,$I$2:$I$2000,0)),1))</f>
        <v>46311</v>
      </c>
      <c r="M129" s="47" t="str">
        <f aca="false">IF(G129="","",IFERROR(maxifs($O$2:O128,$G$2:G128,G129),""))</f>
        <v/>
      </c>
      <c r="N129" s="47" t="n">
        <f aca="false">IF(G129="",L129,MAX(L129,IF(M129="",L129,WORKDAY(M129,1))))</f>
        <v>46311</v>
      </c>
      <c r="O129" s="47" t="n">
        <f aca="false">WORKDAY(N129,K129-1)</f>
        <v>46314</v>
      </c>
      <c r="P129" s="45" t="n">
        <f aca="false">MAX(0,NETWORKDAYS(L129,N129)-1)</f>
        <v>0</v>
      </c>
      <c r="Q129" s="45" t="str">
        <f aca="false">IF(P129&gt;0,"BOTTLENECK DELAY","")</f>
        <v/>
      </c>
    </row>
    <row r="130" customFormat="false" ht="15" hidden="false" customHeight="false" outlineLevel="0" collapsed="false">
      <c r="A130" s="0" t="n">
        <v>129</v>
      </c>
      <c r="B130" s="0" t="s">
        <v>108</v>
      </c>
      <c r="C130" s="44" t="n">
        <f aca="false">INDEX(Projects!$B$2:$B$100,MATCH(B130,Projects!$A$2:$A$100,0))</f>
        <v>46155</v>
      </c>
      <c r="D130" s="0" t="n">
        <v>41</v>
      </c>
      <c r="E130" s="0" t="s">
        <v>33</v>
      </c>
      <c r="F130" s="0" t="s">
        <v>30</v>
      </c>
      <c r="H130" s="0" t="s">
        <v>61</v>
      </c>
      <c r="I130" s="45" t="str">
        <f aca="false">B130&amp;"|"&amp;E130</f>
        <v>IW12|Electrical Finish</v>
      </c>
      <c r="J130" s="45" t="str">
        <f aca="false">IF(H130="","",B130&amp;"|"&amp;H130)</f>
        <v>IW12|Painting Main</v>
      </c>
      <c r="K130" s="46" t="n">
        <v>4</v>
      </c>
      <c r="L130" s="47" t="n">
        <f aca="false">IF(H130="",C130,WORKDAY(INDEX($O$2:$O$2000,MATCH(J130,$I$2:$I$2000,0)),1))</f>
        <v>46325</v>
      </c>
      <c r="M130" s="47" t="str">
        <f aca="false">IF(G130="","",IFERROR(maxifs($O$2:O129,$G$2:G129,G130),""))</f>
        <v/>
      </c>
      <c r="N130" s="47" t="n">
        <f aca="false">IF(G130="",L130,MAX(L130,IF(M130="",L130,WORKDAY(M130,1))))</f>
        <v>46325</v>
      </c>
      <c r="O130" s="47" t="n">
        <f aca="false">WORKDAY(N130,K130-1)</f>
        <v>46330</v>
      </c>
      <c r="P130" s="45" t="n">
        <f aca="false">MAX(0,NETWORKDAYS(L130,N130)-1)</f>
        <v>0</v>
      </c>
      <c r="Q130" s="45" t="str">
        <f aca="false">IF(P130&gt;0,"BOTTLENECK DELAY","")</f>
        <v/>
      </c>
    </row>
    <row r="131" customFormat="false" ht="15" hidden="false" customHeight="false" outlineLevel="0" collapsed="false">
      <c r="A131" s="0" t="n">
        <v>130</v>
      </c>
      <c r="B131" s="0" t="s">
        <v>108</v>
      </c>
      <c r="C131" s="44" t="n">
        <f aca="false">INDEX(Projects!$B$2:$B$100,MATCH(B131,Projects!$A$2:$A$100,0))</f>
        <v>46155</v>
      </c>
      <c r="D131" s="0" t="n">
        <v>42</v>
      </c>
      <c r="E131" s="0" t="s">
        <v>49</v>
      </c>
      <c r="F131" s="0" t="s">
        <v>46</v>
      </c>
      <c r="H131" s="0" t="s">
        <v>33</v>
      </c>
      <c r="I131" s="45" t="str">
        <f aca="false">B131&amp;"|"&amp;E131</f>
        <v>IW12|Insulation Ceiling</v>
      </c>
      <c r="J131" s="45" t="str">
        <f aca="false">IF(H131="","",B131&amp;"|"&amp;H131)</f>
        <v>IW12|Electrical Finish</v>
      </c>
      <c r="K131" s="46" t="n">
        <v>2</v>
      </c>
      <c r="L131" s="47" t="n">
        <f aca="false">IF(H131="",C131,WORKDAY(INDEX($O$2:$O$2000,MATCH(J131,$I$2:$I$2000,0)),1))</f>
        <v>46331</v>
      </c>
      <c r="M131" s="47" t="str">
        <f aca="false">IF(G131="","",IFERROR(maxifs($O$2:O130,$G$2:G130,G131),""))</f>
        <v/>
      </c>
      <c r="N131" s="47" t="n">
        <f aca="false">IF(G131="",L131,MAX(L131,IF(M131="",L131,WORKDAY(M131,1))))</f>
        <v>46331</v>
      </c>
      <c r="O131" s="47" t="n">
        <f aca="false">WORKDAY(N131,K131-1)</f>
        <v>46332</v>
      </c>
      <c r="P131" s="45" t="n">
        <f aca="false">MAX(0,NETWORKDAYS(L131,N131)-1)</f>
        <v>0</v>
      </c>
      <c r="Q131" s="45" t="str">
        <f aca="false">IF(P131&gt;0,"BOTTLENECK DELAY","")</f>
        <v/>
      </c>
    </row>
    <row r="132" customFormat="false" ht="15" hidden="false" customHeight="false" outlineLevel="0" collapsed="false">
      <c r="A132" s="0" t="n">
        <v>131</v>
      </c>
      <c r="B132" s="0" t="s">
        <v>108</v>
      </c>
      <c r="C132" s="44" t="n">
        <f aca="false">INDEX(Projects!$B$2:$B$100,MATCH(B132,Projects!$A$2:$A$100,0))</f>
        <v>46155</v>
      </c>
      <c r="D132" s="0" t="n">
        <v>43</v>
      </c>
      <c r="E132" s="0" t="s">
        <v>62</v>
      </c>
      <c r="F132" s="0" t="s">
        <v>59</v>
      </c>
      <c r="H132" s="0" t="s">
        <v>33</v>
      </c>
      <c r="I132" s="45" t="str">
        <f aca="false">B132&amp;"|"&amp;E132</f>
        <v>IW12|Painting Finish</v>
      </c>
      <c r="J132" s="45" t="str">
        <f aca="false">IF(H132="","",B132&amp;"|"&amp;H132)</f>
        <v>IW12|Electrical Finish</v>
      </c>
      <c r="K132" s="46" t="n">
        <v>5</v>
      </c>
      <c r="L132" s="47" t="n">
        <f aca="false">IF(H132="",C132,WORKDAY(INDEX($O$2:$O$2000,MATCH(J132,$I$2:$I$2000,0)),1))</f>
        <v>46331</v>
      </c>
      <c r="M132" s="47" t="str">
        <f aca="false">IF(G132="","",IFERROR(maxifs($O$2:O131,$G$2:G131,G132),""))</f>
        <v/>
      </c>
      <c r="N132" s="47" t="n">
        <f aca="false">IF(G132="",L132,MAX(L132,IF(M132="",L132,WORKDAY(M132,1))))</f>
        <v>46331</v>
      </c>
      <c r="O132" s="47" t="n">
        <f aca="false">WORKDAY(N132,K132-1)</f>
        <v>46337</v>
      </c>
      <c r="P132" s="45" t="n">
        <f aca="false">MAX(0,NETWORKDAYS(L132,N132)-1)</f>
        <v>0</v>
      </c>
      <c r="Q132" s="45" t="str">
        <f aca="false">IF(P132&gt;0,"BOTTLENECK DELAY","")</f>
        <v/>
      </c>
    </row>
    <row r="133" customFormat="false" ht="15" hidden="false" customHeight="false" outlineLevel="0" collapsed="false">
      <c r="A133" s="0" t="n">
        <v>132</v>
      </c>
      <c r="B133" s="0" t="s">
        <v>108</v>
      </c>
      <c r="C133" s="44" t="n">
        <f aca="false">INDEX(Projects!$B$2:$B$100,MATCH(B133,Projects!$A$2:$A$100,0))</f>
        <v>46155</v>
      </c>
      <c r="D133" s="0" t="n">
        <v>44</v>
      </c>
      <c r="E133" s="0" t="s">
        <v>79</v>
      </c>
      <c r="F133" s="0" t="s">
        <v>78</v>
      </c>
      <c r="H133" s="0" t="s">
        <v>62</v>
      </c>
      <c r="I133" s="45" t="str">
        <f aca="false">B133&amp;"|"&amp;E133</f>
        <v>IW12|Cleaning</v>
      </c>
      <c r="J133" s="45" t="str">
        <f aca="false">IF(H133="","",B133&amp;"|"&amp;H133)</f>
        <v>IW12|Painting Finish</v>
      </c>
      <c r="K133" s="46" t="n">
        <v>3</v>
      </c>
      <c r="L133" s="47" t="n">
        <f aca="false">IF(H133="",C133,WORKDAY(INDEX($O$2:$O$2000,MATCH(J133,$I$2:$I$2000,0)),1))</f>
        <v>46338</v>
      </c>
      <c r="M133" s="47" t="str">
        <f aca="false">IF(G133="","",IFERROR(maxifs($O$2:O132,$G$2:G132,G133),""))</f>
        <v/>
      </c>
      <c r="N133" s="47" t="n">
        <f aca="false">IF(G133="",L133,MAX(L133,IF(M133="",L133,WORKDAY(M133,1))))</f>
        <v>46338</v>
      </c>
      <c r="O133" s="47" t="n">
        <f aca="false">WORKDAY(N133,K133-1)</f>
        <v>46342</v>
      </c>
      <c r="P133" s="45" t="n">
        <f aca="false">MAX(0,NETWORKDAYS(L133,N133)-1)</f>
        <v>0</v>
      </c>
      <c r="Q133" s="45" t="str">
        <f aca="false">IF(P133&gt;0,"BOTTLENECK DELAY","")</f>
        <v/>
      </c>
    </row>
    <row r="134" customFormat="false" ht="15" hidden="false" customHeight="false" outlineLevel="0" collapsed="false">
      <c r="A134" s="0" t="n">
        <v>133</v>
      </c>
      <c r="B134" s="0" t="s">
        <v>110</v>
      </c>
      <c r="C134" s="44" t="n">
        <f aca="false">INDEX(Projects!$B$2:$B$100,MATCH(B134,Projects!$A$2:$A$100,0))</f>
        <v>46176</v>
      </c>
      <c r="D134" s="0" t="n">
        <v>1</v>
      </c>
      <c r="E134" s="0" t="s">
        <v>16</v>
      </c>
      <c r="F134" s="0" t="s">
        <v>120</v>
      </c>
      <c r="I134" s="45" t="str">
        <f aca="false">B134&amp;"|"&amp;E134</f>
        <v>IW13|Estimate</v>
      </c>
      <c r="J134" s="45" t="str">
        <f aca="false">IF(H134="","",B134&amp;"|"&amp;H134)</f>
        <v/>
      </c>
      <c r="K134" s="46" t="n">
        <v>10</v>
      </c>
      <c r="L134" s="47" t="n">
        <f aca="false">IF(H134="",C134,WORKDAY(INDEX($O$2:$O$2000,MATCH(J134,$I$2:$I$2000,0)),1))</f>
        <v>46176</v>
      </c>
      <c r="M134" s="47" t="str">
        <f aca="false">IF(G134="","",IFERROR(maxifs($O$2:O133,$G$2:G133,G134),""))</f>
        <v/>
      </c>
      <c r="N134" s="47" t="n">
        <f aca="false">IF(G134="",L134,MAX(L134,IF(M134="",L134,WORKDAY(M134,1))))</f>
        <v>46176</v>
      </c>
      <c r="O134" s="47" t="n">
        <f aca="false">WORKDAY(N134,K134-1)</f>
        <v>46189</v>
      </c>
      <c r="P134" s="45" t="n">
        <f aca="false">MAX(0,NETWORKDAYS(L134,N134)-1)</f>
        <v>0</v>
      </c>
      <c r="Q134" s="45" t="str">
        <f aca="false">IF(P134&gt;0,"BOTTLENECK DELAY","")</f>
        <v/>
      </c>
    </row>
    <row r="135" customFormat="false" ht="15" hidden="false" customHeight="false" outlineLevel="0" collapsed="false">
      <c r="A135" s="0" t="n">
        <v>134</v>
      </c>
      <c r="B135" s="0" t="s">
        <v>110</v>
      </c>
      <c r="C135" s="44" t="n">
        <f aca="false">INDEX(Projects!$B$2:$B$100,MATCH(B135,Projects!$A$2:$A$100,0))</f>
        <v>46176</v>
      </c>
      <c r="D135" s="0" t="n">
        <v>2</v>
      </c>
      <c r="E135" s="0" t="s">
        <v>17</v>
      </c>
      <c r="F135" s="0" t="s">
        <v>120</v>
      </c>
      <c r="H135" s="0" t="s">
        <v>16</v>
      </c>
      <c r="I135" s="45" t="str">
        <f aca="false">B135&amp;"|"&amp;E135</f>
        <v>IW13|Clearing</v>
      </c>
      <c r="J135" s="45" t="str">
        <f aca="false">IF(H135="","",B135&amp;"|"&amp;H135)</f>
        <v>IW13|Estimate</v>
      </c>
      <c r="K135" s="46" t="n">
        <v>3</v>
      </c>
      <c r="L135" s="47" t="n">
        <f aca="false">IF(H135="",C135,WORKDAY(INDEX($O$2:$O$2000,MATCH(J135,$I$2:$I$2000,0)),1))</f>
        <v>46190</v>
      </c>
      <c r="M135" s="47" t="str">
        <f aca="false">IF(G135="","",IFERROR(maxifs($O$2:O134,$G$2:G134,G135),""))</f>
        <v/>
      </c>
      <c r="N135" s="47" t="n">
        <f aca="false">IF(G135="",L135,MAX(L135,IF(M135="",L135,WORKDAY(M135,1))))</f>
        <v>46190</v>
      </c>
      <c r="O135" s="47" t="n">
        <f aca="false">WORKDAY(N135,K135-1)</f>
        <v>46192</v>
      </c>
      <c r="P135" s="45" t="n">
        <f aca="false">MAX(0,NETWORKDAYS(L135,N135)-1)</f>
        <v>0</v>
      </c>
      <c r="Q135" s="45" t="str">
        <f aca="false">IF(P135&gt;0,"BOTTLENECK DELAY","")</f>
        <v/>
      </c>
    </row>
    <row r="136" customFormat="false" ht="15" hidden="false" customHeight="false" outlineLevel="0" collapsed="false">
      <c r="A136" s="0" t="n">
        <v>135</v>
      </c>
      <c r="B136" s="0" t="s">
        <v>110</v>
      </c>
      <c r="C136" s="44" t="n">
        <f aca="false">INDEX(Projects!$B$2:$B$100,MATCH(B136,Projects!$A$2:$A$100,0))</f>
        <v>46176</v>
      </c>
      <c r="D136" s="0" t="n">
        <v>3</v>
      </c>
      <c r="E136" s="0" t="s">
        <v>18</v>
      </c>
      <c r="F136" s="0" t="s">
        <v>120</v>
      </c>
      <c r="H136" s="0" t="s">
        <v>17</v>
      </c>
      <c r="I136" s="45" t="str">
        <f aca="false">B136&amp;"|"&amp;E136</f>
        <v>IW13|Site Prep</v>
      </c>
      <c r="J136" s="45" t="str">
        <f aca="false">IF(H136="","",B136&amp;"|"&amp;H136)</f>
        <v>IW13|Clearing</v>
      </c>
      <c r="K136" s="46" t="n">
        <v>2</v>
      </c>
      <c r="L136" s="47" t="n">
        <f aca="false">IF(H136="",C136,WORKDAY(INDEX($O$2:$O$2000,MATCH(J136,$I$2:$I$2000,0)),1))</f>
        <v>46195</v>
      </c>
      <c r="M136" s="47" t="str">
        <f aca="false">IF(G136="","",IFERROR(maxifs($O$2:O135,$G$2:G135,G136),""))</f>
        <v/>
      </c>
      <c r="N136" s="47" t="n">
        <f aca="false">IF(G136="",L136,MAX(L136,IF(M136="",L136,WORKDAY(M136,1))))</f>
        <v>46195</v>
      </c>
      <c r="O136" s="47" t="n">
        <f aca="false">WORKDAY(N136,K136-1)</f>
        <v>46196</v>
      </c>
      <c r="P136" s="45" t="n">
        <f aca="false">MAX(0,NETWORKDAYS(L136,N136)-1)</f>
        <v>0</v>
      </c>
      <c r="Q136" s="45" t="str">
        <f aca="false">IF(P136&gt;0,"BOTTLENECK DELAY","")</f>
        <v/>
      </c>
    </row>
    <row r="137" customFormat="false" ht="15" hidden="false" customHeight="false" outlineLevel="0" collapsed="false">
      <c r="A137" s="0" t="n">
        <v>136</v>
      </c>
      <c r="B137" s="0" t="s">
        <v>110</v>
      </c>
      <c r="C137" s="44" t="n">
        <f aca="false">INDEX(Projects!$B$2:$B$100,MATCH(B137,Projects!$A$2:$A$100,0))</f>
        <v>46176</v>
      </c>
      <c r="D137" s="0" t="n">
        <v>4</v>
      </c>
      <c r="E137" s="0" t="s">
        <v>12</v>
      </c>
      <c r="F137" s="0" t="s">
        <v>121</v>
      </c>
      <c r="G137" s="0" t="s">
        <v>121</v>
      </c>
      <c r="H137" s="0" t="s">
        <v>18</v>
      </c>
      <c r="I137" s="45" t="str">
        <f aca="false">B137&amp;"|"&amp;E137</f>
        <v>IW13|Footer</v>
      </c>
      <c r="J137" s="45" t="str">
        <f aca="false">IF(H137="","",B137&amp;"|"&amp;H137)</f>
        <v>IW13|Site Prep</v>
      </c>
      <c r="K137" s="46" t="n">
        <v>4</v>
      </c>
      <c r="L137" s="47" t="n">
        <f aca="false">IF(H137="",C137,WORKDAY(INDEX($O$2:$O$2000,MATCH(J137,$I$2:$I$2000,0)),1))</f>
        <v>46197</v>
      </c>
      <c r="M137" s="47" t="str">
        <f aca="false">IF(G137="","",IFERROR(maxifs($O$2:O136,$G$2:G136,G137),""))</f>
        <v/>
      </c>
      <c r="N137" s="47" t="n">
        <f aca="false">IF(G137="",L137,MAX(L137,IF(M137="",L137,WORKDAY(M137,1))))</f>
        <v>46197</v>
      </c>
      <c r="O137" s="47" t="n">
        <f aca="false">WORKDAY(N137,K137-1)</f>
        <v>46202</v>
      </c>
      <c r="P137" s="45" t="n">
        <f aca="false">MAX(0,NETWORKDAYS(L137,N137)-1)</f>
        <v>0</v>
      </c>
      <c r="Q137" s="45" t="str">
        <f aca="false">IF(P137&gt;0,"BOTTLENECK DELAY","")</f>
        <v/>
      </c>
    </row>
    <row r="138" customFormat="false" ht="15" hidden="false" customHeight="false" outlineLevel="0" collapsed="false">
      <c r="A138" s="0" t="n">
        <v>137</v>
      </c>
      <c r="B138" s="0" t="s">
        <v>110</v>
      </c>
      <c r="C138" s="44" t="n">
        <f aca="false">INDEX(Projects!$B$2:$B$100,MATCH(B138,Projects!$A$2:$A$100,0))</f>
        <v>46176</v>
      </c>
      <c r="D138" s="0" t="n">
        <v>5</v>
      </c>
      <c r="E138" s="0" t="s">
        <v>22</v>
      </c>
      <c r="F138" s="0" t="s">
        <v>21</v>
      </c>
      <c r="H138" s="0" t="s">
        <v>12</v>
      </c>
      <c r="I138" s="45" t="str">
        <f aca="false">B138&amp;"|"&amp;E138</f>
        <v>IW13|Block</v>
      </c>
      <c r="J138" s="45" t="str">
        <f aca="false">IF(H138="","",B138&amp;"|"&amp;H138)</f>
        <v>IW13|Footer</v>
      </c>
      <c r="K138" s="46" t="n">
        <v>10</v>
      </c>
      <c r="L138" s="47" t="n">
        <f aca="false">IF(H138="",C138,WORKDAY(INDEX($O$2:$O$2000,MATCH(J138,$I$2:$I$2000,0)),1))</f>
        <v>46203</v>
      </c>
      <c r="M138" s="47" t="str">
        <f aca="false">IF(G138="","",IFERROR(maxifs($O$2:O137,$G$2:G137,G138),""))</f>
        <v/>
      </c>
      <c r="N138" s="47" t="n">
        <f aca="false">IF(G138="",L138,MAX(L138,IF(M138="",L138,WORKDAY(M138,1))))</f>
        <v>46203</v>
      </c>
      <c r="O138" s="47" t="n">
        <f aca="false">WORKDAY(N138,K138-1)</f>
        <v>46216</v>
      </c>
      <c r="P138" s="45" t="n">
        <f aca="false">MAX(0,NETWORKDAYS(L138,N138)-1)</f>
        <v>0</v>
      </c>
      <c r="Q138" s="45" t="str">
        <f aca="false">IF(P138&gt;0,"BOTTLENECK DELAY","")</f>
        <v/>
      </c>
    </row>
    <row r="139" customFormat="false" ht="15" hidden="false" customHeight="false" outlineLevel="0" collapsed="false">
      <c r="A139" s="0" t="n">
        <v>138</v>
      </c>
      <c r="B139" s="0" t="s">
        <v>110</v>
      </c>
      <c r="C139" s="44" t="n">
        <f aca="false">INDEX(Projects!$B$2:$B$100,MATCH(B139,Projects!$A$2:$A$100,0))</f>
        <v>46176</v>
      </c>
      <c r="D139" s="0" t="n">
        <v>6</v>
      </c>
      <c r="E139" s="0" t="s">
        <v>72</v>
      </c>
      <c r="F139" s="0" t="s">
        <v>69</v>
      </c>
      <c r="H139" s="0" t="s">
        <v>22</v>
      </c>
      <c r="I139" s="45" t="str">
        <f aca="false">B139&amp;"|"&amp;E139</f>
        <v>IW13|French Drain</v>
      </c>
      <c r="J139" s="45" t="str">
        <f aca="false">IF(H139="","",B139&amp;"|"&amp;H139)</f>
        <v>IW13|Block</v>
      </c>
      <c r="K139" s="46" t="n">
        <v>2</v>
      </c>
      <c r="L139" s="47" t="n">
        <f aca="false">IF(H139="",C139,WORKDAY(INDEX($O$2:$O$2000,MATCH(J139,$I$2:$I$2000,0)),1))</f>
        <v>46217</v>
      </c>
      <c r="M139" s="47" t="str">
        <f aca="false">IF(G139="","",IFERROR(maxifs($O$2:O138,$G$2:G138,G139),""))</f>
        <v/>
      </c>
      <c r="N139" s="47" t="n">
        <f aca="false">IF(G139="",L139,MAX(L139,IF(M139="",L139,WORKDAY(M139,1))))</f>
        <v>46217</v>
      </c>
      <c r="O139" s="47" t="n">
        <f aca="false">WORKDAY(N139,K139-1)</f>
        <v>46218</v>
      </c>
      <c r="P139" s="45" t="n">
        <f aca="false">MAX(0,NETWORKDAYS(L139,N139)-1)</f>
        <v>0</v>
      </c>
      <c r="Q139" s="45" t="str">
        <f aca="false">IF(P139&gt;0,"BOTTLENECK DELAY","")</f>
        <v/>
      </c>
    </row>
    <row r="140" customFormat="false" ht="15" hidden="false" customHeight="false" outlineLevel="0" collapsed="false">
      <c r="A140" s="0" t="n">
        <v>139</v>
      </c>
      <c r="B140" s="0" t="s">
        <v>110</v>
      </c>
      <c r="C140" s="44" t="n">
        <f aca="false">INDEX(Projects!$B$2:$B$100,MATCH(B140,Projects!$A$2:$A$100,0))</f>
        <v>46176</v>
      </c>
      <c r="D140" s="0" t="n">
        <v>7</v>
      </c>
      <c r="E140" s="0" t="s">
        <v>47</v>
      </c>
      <c r="F140" s="0" t="s">
        <v>46</v>
      </c>
      <c r="H140" s="0" t="s">
        <v>22</v>
      </c>
      <c r="I140" s="45" t="str">
        <f aca="false">B140&amp;"|"&amp;E140</f>
        <v>IW13|Insulation Block</v>
      </c>
      <c r="J140" s="45" t="str">
        <f aca="false">IF(H140="","",B140&amp;"|"&amp;H140)</f>
        <v>IW13|Block</v>
      </c>
      <c r="K140" s="46" t="n">
        <v>2</v>
      </c>
      <c r="L140" s="47" t="n">
        <f aca="false">IF(H140="",C140,WORKDAY(INDEX($O$2:$O$2000,MATCH(J140,$I$2:$I$2000,0)),1))</f>
        <v>46217</v>
      </c>
      <c r="M140" s="47" t="str">
        <f aca="false">IF(G140="","",IFERROR(maxifs($O$2:O139,$G$2:G139,G140),""))</f>
        <v/>
      </c>
      <c r="N140" s="47" t="n">
        <f aca="false">IF(G140="",L140,MAX(L140,IF(M140="",L140,WORKDAY(M140,1))))</f>
        <v>46217</v>
      </c>
      <c r="O140" s="47" t="n">
        <f aca="false">WORKDAY(N140,K140-1)</f>
        <v>46218</v>
      </c>
      <c r="P140" s="45" t="n">
        <f aca="false">MAX(0,NETWORKDAYS(L140,N140)-1)</f>
        <v>0</v>
      </c>
      <c r="Q140" s="45" t="str">
        <f aca="false">IF(P140&gt;0,"BOTTLENECK DELAY","")</f>
        <v/>
      </c>
    </row>
    <row r="141" customFormat="false" ht="15" hidden="false" customHeight="false" outlineLevel="0" collapsed="false">
      <c r="A141" s="0" t="n">
        <v>140</v>
      </c>
      <c r="B141" s="0" t="s">
        <v>110</v>
      </c>
      <c r="C141" s="44" t="n">
        <f aca="false">INDEX(Projects!$B$2:$B$100,MATCH(B141,Projects!$A$2:$A$100,0))</f>
        <v>46176</v>
      </c>
      <c r="D141" s="0" t="n">
        <v>8</v>
      </c>
      <c r="E141" s="0" t="s">
        <v>95</v>
      </c>
      <c r="H141" s="0" t="s">
        <v>47</v>
      </c>
      <c r="I141" s="45" t="str">
        <f aca="false">B141&amp;"|"&amp;E141</f>
        <v>IW13|Rock Work</v>
      </c>
      <c r="J141" s="45" t="str">
        <f aca="false">IF(H141="","",B141&amp;"|"&amp;H141)</f>
        <v>IW13|Insulation Block</v>
      </c>
      <c r="K141" s="46" t="n">
        <v>2</v>
      </c>
      <c r="L141" s="47" t="n">
        <f aca="false">IF(H141="",C141,WORKDAY(INDEX($O$2:$O$2000,MATCH(J141,$I$2:$I$2000,0)),1))</f>
        <v>46219</v>
      </c>
      <c r="M141" s="47" t="str">
        <f aca="false">IF(G141="","",IFERROR(maxifs($O$2:O140,$G$2:G140,G141),""))</f>
        <v/>
      </c>
      <c r="N141" s="47" t="n">
        <f aca="false">IF(G141="",L141,MAX(L141,IF(M141="",L141,WORKDAY(M141,1))))</f>
        <v>46219</v>
      </c>
      <c r="O141" s="47" t="n">
        <f aca="false">WORKDAY(N141,K141-1)</f>
        <v>46220</v>
      </c>
      <c r="P141" s="45" t="n">
        <f aca="false">MAX(0,NETWORKDAYS(L141,N141)-1)</f>
        <v>0</v>
      </c>
      <c r="Q141" s="45" t="str">
        <f aca="false">IF(P141&gt;0,"BOTTLENECK DELAY","")</f>
        <v/>
      </c>
    </row>
    <row r="142" customFormat="false" ht="15" hidden="false" customHeight="false" outlineLevel="0" collapsed="false">
      <c r="A142" s="0" t="n">
        <v>141</v>
      </c>
      <c r="B142" s="0" t="s">
        <v>110</v>
      </c>
      <c r="C142" s="44" t="n">
        <f aca="false">INDEX(Projects!$B$2:$B$100,MATCH(B142,Projects!$A$2:$A$100,0))</f>
        <v>46176</v>
      </c>
      <c r="D142" s="0" t="n">
        <v>9</v>
      </c>
      <c r="E142" s="0" t="s">
        <v>36</v>
      </c>
      <c r="F142" s="0" t="s">
        <v>35</v>
      </c>
      <c r="H142" s="0" t="s">
        <v>95</v>
      </c>
      <c r="I142" s="45" t="str">
        <f aca="false">B142&amp;"|"&amp;E142</f>
        <v>IW13|HVAC Pre</v>
      </c>
      <c r="J142" s="45" t="str">
        <f aca="false">IF(H142="","",B142&amp;"|"&amp;H142)</f>
        <v>IW13|Rock Work</v>
      </c>
      <c r="K142" s="46" t="n">
        <v>2</v>
      </c>
      <c r="L142" s="47" t="n">
        <f aca="false">IF(H142="",C142,WORKDAY(INDEX($O$2:$O$2000,MATCH(J142,$I$2:$I$2000,0)),1))</f>
        <v>46223</v>
      </c>
      <c r="M142" s="47" t="str">
        <f aca="false">IF(G142="","",IFERROR(maxifs($O$2:O141,$G$2:G141,G142),""))</f>
        <v/>
      </c>
      <c r="N142" s="47" t="n">
        <f aca="false">IF(G142="",L142,MAX(L142,IF(M142="",L142,WORKDAY(M142,1))))</f>
        <v>46223</v>
      </c>
      <c r="O142" s="47" t="n">
        <f aca="false">WORKDAY(N142,K142-1)</f>
        <v>46224</v>
      </c>
      <c r="P142" s="45" t="n">
        <f aca="false">MAX(0,NETWORKDAYS(L142,N142)-1)</f>
        <v>0</v>
      </c>
      <c r="Q142" s="45" t="str">
        <f aca="false">IF(P142&gt;0,"BOTTLENECK DELAY","")</f>
        <v/>
      </c>
    </row>
    <row r="143" customFormat="false" ht="15" hidden="false" customHeight="false" outlineLevel="0" collapsed="false">
      <c r="A143" s="0" t="n">
        <v>142</v>
      </c>
      <c r="B143" s="0" t="s">
        <v>110</v>
      </c>
      <c r="C143" s="44" t="n">
        <f aca="false">INDEX(Projects!$B$2:$B$100,MATCH(B143,Projects!$A$2:$A$100,0))</f>
        <v>46176</v>
      </c>
      <c r="D143" s="0" t="n">
        <v>10</v>
      </c>
      <c r="E143" s="0" t="s">
        <v>40</v>
      </c>
      <c r="F143" s="0" t="s">
        <v>39</v>
      </c>
      <c r="G143" s="0" t="s">
        <v>39</v>
      </c>
      <c r="H143" s="0" t="s">
        <v>95</v>
      </c>
      <c r="I143" s="45" t="str">
        <f aca="false">B143&amp;"|"&amp;E143</f>
        <v>IW13|Plumbing Pre</v>
      </c>
      <c r="J143" s="45" t="str">
        <f aca="false">IF(H143="","",B143&amp;"|"&amp;H143)</f>
        <v>IW13|Rock Work</v>
      </c>
      <c r="K143" s="46" t="n">
        <v>5</v>
      </c>
      <c r="L143" s="47" t="n">
        <f aca="false">IF(H143="",C143,WORKDAY(INDEX($O$2:$O$2000,MATCH(J143,$I$2:$I$2000,0)),1))</f>
        <v>46223</v>
      </c>
      <c r="M143" s="47" t="str">
        <f aca="false">IF(G143="","",IFERROR(maxifs($O$2:O142,$G$2:G142,G143),""))</f>
        <v/>
      </c>
      <c r="N143" s="47" t="n">
        <f aca="false">IF(G143="",L143,MAX(L143,IF(M143="",L143,WORKDAY(M143,1))))</f>
        <v>46223</v>
      </c>
      <c r="O143" s="47" t="n">
        <f aca="false">WORKDAY(N143,K143-1)</f>
        <v>46227</v>
      </c>
      <c r="P143" s="45" t="n">
        <f aca="false">MAX(0,NETWORKDAYS(L143,N143)-1)</f>
        <v>0</v>
      </c>
      <c r="Q143" s="45" t="str">
        <f aca="false">IF(P143&gt;0,"BOTTLENECK DELAY","")</f>
        <v/>
      </c>
    </row>
    <row r="144" customFormat="false" ht="15" hidden="false" customHeight="false" outlineLevel="0" collapsed="false">
      <c r="A144" s="0" t="n">
        <v>143</v>
      </c>
      <c r="B144" s="0" t="s">
        <v>110</v>
      </c>
      <c r="C144" s="44" t="n">
        <f aca="false">INDEX(Projects!$B$2:$B$100,MATCH(B144,Projects!$A$2:$A$100,0))</f>
        <v>46176</v>
      </c>
      <c r="D144" s="0" t="n">
        <v>11</v>
      </c>
      <c r="E144" s="0" t="s">
        <v>31</v>
      </c>
      <c r="F144" s="0" t="s">
        <v>30</v>
      </c>
      <c r="H144" s="0" t="s">
        <v>95</v>
      </c>
      <c r="I144" s="45" t="str">
        <f aca="false">B144&amp;"|"&amp;E144</f>
        <v>IW13|Electrical Pre</v>
      </c>
      <c r="J144" s="45" t="str">
        <f aca="false">IF(H144="","",B144&amp;"|"&amp;H144)</f>
        <v>IW13|Rock Work</v>
      </c>
      <c r="K144" s="46" t="n">
        <v>2</v>
      </c>
      <c r="L144" s="47" t="n">
        <f aca="false">IF(H144="",C144,WORKDAY(INDEX($O$2:$O$2000,MATCH(J144,$I$2:$I$2000,0)),1))</f>
        <v>46223</v>
      </c>
      <c r="M144" s="47" t="str">
        <f aca="false">IF(G144="","",IFERROR(maxifs($O$2:O143,$G$2:G143,G144),""))</f>
        <v/>
      </c>
      <c r="N144" s="47" t="n">
        <f aca="false">IF(G144="",L144,MAX(L144,IF(M144="",L144,WORKDAY(M144,1))))</f>
        <v>46223</v>
      </c>
      <c r="O144" s="47" t="n">
        <f aca="false">WORKDAY(N144,K144-1)</f>
        <v>46224</v>
      </c>
      <c r="P144" s="45" t="n">
        <f aca="false">MAX(0,NETWORKDAYS(L144,N144)-1)</f>
        <v>0</v>
      </c>
      <c r="Q144" s="45" t="str">
        <f aca="false">IF(P144&gt;0,"BOTTLENECK DELAY","")</f>
        <v/>
      </c>
    </row>
    <row r="145" customFormat="false" ht="15" hidden="false" customHeight="false" outlineLevel="0" collapsed="false">
      <c r="A145" s="0" t="n">
        <v>144</v>
      </c>
      <c r="B145" s="0" t="s">
        <v>110</v>
      </c>
      <c r="C145" s="44" t="n">
        <f aca="false">INDEX(Projects!$B$2:$B$100,MATCH(B145,Projects!$A$2:$A$100,0))</f>
        <v>46176</v>
      </c>
      <c r="D145" s="0" t="n">
        <v>12</v>
      </c>
      <c r="E145" s="0" t="s">
        <v>13</v>
      </c>
      <c r="F145" s="0" t="s">
        <v>121</v>
      </c>
      <c r="G145" s="0" t="s">
        <v>121</v>
      </c>
      <c r="H145" s="0" t="s">
        <v>40</v>
      </c>
      <c r="I145" s="45" t="str">
        <f aca="false">B145&amp;"|"&amp;E145</f>
        <v>IW13|Slab</v>
      </c>
      <c r="J145" s="45" t="str">
        <f aca="false">IF(H145="","",B145&amp;"|"&amp;H145)</f>
        <v>IW13|Plumbing Pre</v>
      </c>
      <c r="K145" s="46" t="n">
        <v>4</v>
      </c>
      <c r="L145" s="47" t="n">
        <f aca="false">IF(H145="",C145,WORKDAY(INDEX($O$2:$O$2000,MATCH(J145,$I$2:$I$2000,0)),1))</f>
        <v>46230</v>
      </c>
      <c r="M145" s="47" t="str">
        <f aca="false">IF(G145="","",IFERROR(maxifs($O$2:O144,$G$2:G144,G145),""))</f>
        <v/>
      </c>
      <c r="N145" s="47" t="n">
        <f aca="false">IF(G145="",L145,MAX(L145,IF(M145="",L145,WORKDAY(M145,1))))</f>
        <v>46230</v>
      </c>
      <c r="O145" s="47" t="n">
        <f aca="false">WORKDAY(N145,K145-1)</f>
        <v>46233</v>
      </c>
      <c r="P145" s="45" t="n">
        <f aca="false">MAX(0,NETWORKDAYS(L145,N145)-1)</f>
        <v>0</v>
      </c>
      <c r="Q145" s="45" t="str">
        <f aca="false">IF(P145&gt;0,"BOTTLENECK DELAY","")</f>
        <v/>
      </c>
    </row>
    <row r="146" customFormat="false" ht="15" hidden="false" customHeight="false" outlineLevel="0" collapsed="false">
      <c r="A146" s="0" t="n">
        <v>145</v>
      </c>
      <c r="B146" s="0" t="s">
        <v>110</v>
      </c>
      <c r="C146" s="44" t="n">
        <f aca="false">INDEX(Projects!$B$2:$B$100,MATCH(B146,Projects!$A$2:$A$100,0))</f>
        <v>46176</v>
      </c>
      <c r="D146" s="0" t="n">
        <v>13</v>
      </c>
      <c r="E146" s="0" t="s">
        <v>26</v>
      </c>
      <c r="F146" s="0" t="s">
        <v>122</v>
      </c>
      <c r="H146" s="0" t="s">
        <v>13</v>
      </c>
      <c r="I146" s="45" t="str">
        <f aca="false">B146&amp;"|"&amp;E146</f>
        <v>IW13|Framing</v>
      </c>
      <c r="J146" s="45" t="str">
        <f aca="false">IF(H146="","",B146&amp;"|"&amp;H146)</f>
        <v>IW13|Slab</v>
      </c>
      <c r="K146" s="46" t="n">
        <v>30</v>
      </c>
      <c r="L146" s="47" t="n">
        <f aca="false">IF(H146="",C146,WORKDAY(INDEX($O$2:$O$2000,MATCH(J146,$I$2:$I$2000,0)),1))</f>
        <v>46234</v>
      </c>
      <c r="M146" s="47" t="str">
        <f aca="false">IF(G146="","",IFERROR(maxifs($O$2:O145,$G$2:G145,G146),""))</f>
        <v/>
      </c>
      <c r="N146" s="47" t="n">
        <f aca="false">IF(G146="",L146,MAX(L146,IF(M146="",L146,WORKDAY(M146,1))))</f>
        <v>46234</v>
      </c>
      <c r="O146" s="47" t="n">
        <f aca="false">WORKDAY(N146,K146-1)</f>
        <v>46275</v>
      </c>
      <c r="P146" s="45" t="n">
        <f aca="false">MAX(0,NETWORKDAYS(L146,N146)-1)</f>
        <v>0</v>
      </c>
      <c r="Q146" s="45" t="str">
        <f aca="false">IF(P146&gt;0,"BOTTLENECK DELAY","")</f>
        <v/>
      </c>
    </row>
    <row r="147" customFormat="false" ht="15" hidden="false" customHeight="false" outlineLevel="0" collapsed="false">
      <c r="A147" s="0" t="n">
        <v>146</v>
      </c>
      <c r="B147" s="0" t="s">
        <v>110</v>
      </c>
      <c r="C147" s="44" t="n">
        <f aca="false">INDEX(Projects!$B$2:$B$100,MATCH(B147,Projects!$A$2:$A$100,0))</f>
        <v>46176</v>
      </c>
      <c r="D147" s="0" t="n">
        <v>14</v>
      </c>
      <c r="E147" s="0" t="s">
        <v>29</v>
      </c>
      <c r="F147" s="0" t="s">
        <v>28</v>
      </c>
      <c r="H147" s="0" t="s">
        <v>26</v>
      </c>
      <c r="I147" s="45" t="str">
        <f aca="false">B147&amp;"|"&amp;E147</f>
        <v>IW13|Roofing</v>
      </c>
      <c r="J147" s="45" t="str">
        <f aca="false">IF(H147="","",B147&amp;"|"&amp;H147)</f>
        <v>IW13|Framing</v>
      </c>
      <c r="K147" s="46" t="n">
        <v>4</v>
      </c>
      <c r="L147" s="47" t="n">
        <f aca="false">IF(H147="",C147,WORKDAY(INDEX($O$2:$O$2000,MATCH(J147,$I$2:$I$2000,0)),1))</f>
        <v>46276</v>
      </c>
      <c r="M147" s="47" t="str">
        <f aca="false">IF(G147="","",IFERROR(maxifs($O$2:O146,$G$2:G146,G147),""))</f>
        <v/>
      </c>
      <c r="N147" s="47" t="n">
        <f aca="false">IF(G147="",L147,MAX(L147,IF(M147="",L147,WORKDAY(M147,1))))</f>
        <v>46276</v>
      </c>
      <c r="O147" s="47" t="n">
        <f aca="false">WORKDAY(N147,K147-1)</f>
        <v>46281</v>
      </c>
      <c r="P147" s="45" t="n">
        <f aca="false">MAX(0,NETWORKDAYS(L147,N147)-1)</f>
        <v>0</v>
      </c>
      <c r="Q147" s="45" t="str">
        <f aca="false">IF(P147&gt;0,"BOTTLENECK DELAY","")</f>
        <v/>
      </c>
    </row>
    <row r="148" customFormat="false" ht="15" hidden="false" customHeight="false" outlineLevel="0" collapsed="false">
      <c r="A148" s="0" t="n">
        <v>147</v>
      </c>
      <c r="B148" s="0" t="s">
        <v>110</v>
      </c>
      <c r="C148" s="44" t="n">
        <f aca="false">INDEX(Projects!$B$2:$B$100,MATCH(B148,Projects!$A$2:$A$100,0))</f>
        <v>46176</v>
      </c>
      <c r="D148" s="0" t="n">
        <v>15</v>
      </c>
      <c r="E148" s="0" t="s">
        <v>23</v>
      </c>
      <c r="F148" s="0" t="s">
        <v>21</v>
      </c>
      <c r="H148" s="0" t="s">
        <v>29</v>
      </c>
      <c r="I148" s="45" t="str">
        <f aca="false">B148&amp;"|"&amp;E148</f>
        <v>IW13|Brick</v>
      </c>
      <c r="J148" s="45" t="str">
        <f aca="false">IF(H148="","",B148&amp;"|"&amp;H148)</f>
        <v>IW13|Roofing</v>
      </c>
      <c r="K148" s="46" t="n">
        <v>20</v>
      </c>
      <c r="L148" s="47" t="n">
        <f aca="false">IF(H148="",C148,WORKDAY(INDEX($O$2:$O$2000,MATCH(J148,$I$2:$I$2000,0)),1))</f>
        <v>46282</v>
      </c>
      <c r="M148" s="47" t="str">
        <f aca="false">IF(G148="","",IFERROR(maxifs($O$2:O147,$G$2:G147,G148),""))</f>
        <v/>
      </c>
      <c r="N148" s="47" t="n">
        <f aca="false">IF(G148="",L148,MAX(L148,IF(M148="",L148,WORKDAY(M148,1))))</f>
        <v>46282</v>
      </c>
      <c r="O148" s="47" t="n">
        <f aca="false">WORKDAY(N148,K148-1)</f>
        <v>46309</v>
      </c>
      <c r="P148" s="45" t="n">
        <f aca="false">MAX(0,NETWORKDAYS(L148,N148)-1)</f>
        <v>0</v>
      </c>
      <c r="Q148" s="45" t="str">
        <f aca="false">IF(P148&gt;0,"BOTTLENECK DELAY","")</f>
        <v/>
      </c>
    </row>
    <row r="149" customFormat="false" ht="15" hidden="false" customHeight="false" outlineLevel="0" collapsed="false">
      <c r="A149" s="0" t="n">
        <v>148</v>
      </c>
      <c r="B149" s="0" t="s">
        <v>110</v>
      </c>
      <c r="C149" s="44" t="n">
        <f aca="false">INDEX(Projects!$B$2:$B$100,MATCH(B149,Projects!$A$2:$A$100,0))</f>
        <v>46176</v>
      </c>
      <c r="D149" s="0" t="n">
        <v>16</v>
      </c>
      <c r="E149" s="0" t="s">
        <v>123</v>
      </c>
      <c r="F149" s="0" t="s">
        <v>21</v>
      </c>
      <c r="H149" s="0" t="s">
        <v>29</v>
      </c>
      <c r="I149" s="45" t="str">
        <f aca="false">B149&amp;"|"&amp;E149</f>
        <v>IW13|Stone</v>
      </c>
      <c r="J149" s="45" t="str">
        <f aca="false">IF(H149="","",B149&amp;"|"&amp;H149)</f>
        <v>IW13|Roofing</v>
      </c>
      <c r="K149" s="46" t="n">
        <v>20</v>
      </c>
      <c r="L149" s="47" t="n">
        <f aca="false">IF(H149="",C149,WORKDAY(INDEX($O$2:$O$2000,MATCH(J149,$I$2:$I$2000,0)),1))</f>
        <v>46282</v>
      </c>
      <c r="M149" s="47" t="str">
        <f aca="false">IF(G149="","",IFERROR(maxifs($O$2:O148,$G$2:G148,G149),""))</f>
        <v/>
      </c>
      <c r="N149" s="47" t="n">
        <f aca="false">IF(G149="",L149,MAX(L149,IF(M149="",L149,WORKDAY(M149,1))))</f>
        <v>46282</v>
      </c>
      <c r="O149" s="47" t="n">
        <f aca="false">WORKDAY(N149,K149-1)</f>
        <v>46309</v>
      </c>
      <c r="P149" s="45" t="n">
        <f aca="false">MAX(0,NETWORKDAYS(L149,N149)-1)</f>
        <v>0</v>
      </c>
      <c r="Q149" s="45" t="str">
        <f aca="false">IF(P149&gt;0,"BOTTLENECK DELAY","")</f>
        <v/>
      </c>
    </row>
    <row r="150" customFormat="false" ht="15" hidden="false" customHeight="false" outlineLevel="0" collapsed="false">
      <c r="A150" s="0" t="n">
        <v>149</v>
      </c>
      <c r="B150" s="0" t="s">
        <v>110</v>
      </c>
      <c r="C150" s="44" t="n">
        <f aca="false">INDEX(Projects!$B$2:$B$100,MATCH(B150,Projects!$A$2:$A$100,0))</f>
        <v>46176</v>
      </c>
      <c r="D150" s="0" t="n">
        <v>17</v>
      </c>
      <c r="E150" s="0" t="s">
        <v>27</v>
      </c>
      <c r="F150" s="0" t="s">
        <v>122</v>
      </c>
      <c r="H150" s="0" t="s">
        <v>29</v>
      </c>
      <c r="I150" s="45" t="str">
        <f aca="false">B150&amp;"|"&amp;E150</f>
        <v>IW13|Siding</v>
      </c>
      <c r="J150" s="45" t="str">
        <f aca="false">IF(H150="","",B150&amp;"|"&amp;H150)</f>
        <v>IW13|Roofing</v>
      </c>
      <c r="K150" s="46" t="n">
        <v>20</v>
      </c>
      <c r="L150" s="47" t="n">
        <f aca="false">IF(H150="",C150,WORKDAY(INDEX($O$2:$O$2000,MATCH(J150,$I$2:$I$2000,0)),1))</f>
        <v>46282</v>
      </c>
      <c r="M150" s="47" t="str">
        <f aca="false">IF(G150="","",IFERROR(maxifs($O$2:O149,$G$2:G149,G150),""))</f>
        <v/>
      </c>
      <c r="N150" s="47" t="n">
        <f aca="false">IF(G150="",L150,MAX(L150,IF(M150="",L150,WORKDAY(M150,1))))</f>
        <v>46282</v>
      </c>
      <c r="O150" s="47" t="n">
        <f aca="false">WORKDAY(N150,K150-1)</f>
        <v>46309</v>
      </c>
      <c r="P150" s="45" t="n">
        <f aca="false">MAX(0,NETWORKDAYS(L150,N150)-1)</f>
        <v>0</v>
      </c>
      <c r="Q150" s="45" t="str">
        <f aca="false">IF(P150&gt;0,"BOTTLENECK DELAY","")</f>
        <v/>
      </c>
    </row>
    <row r="151" customFormat="false" ht="15" hidden="false" customHeight="false" outlineLevel="0" collapsed="false">
      <c r="A151" s="0" t="n">
        <v>150</v>
      </c>
      <c r="B151" s="0" t="s">
        <v>110</v>
      </c>
      <c r="C151" s="44" t="n">
        <f aca="false">INDEX(Projects!$B$2:$B$100,MATCH(B151,Projects!$A$2:$A$100,0))</f>
        <v>46176</v>
      </c>
      <c r="D151" s="0" t="n">
        <v>18</v>
      </c>
      <c r="E151" s="0" t="s">
        <v>96</v>
      </c>
      <c r="H151" s="0" t="s">
        <v>23</v>
      </c>
      <c r="I151" s="45" t="str">
        <f aca="false">B151&amp;"|"&amp;E151</f>
        <v>IW13|Rough Grade</v>
      </c>
      <c r="J151" s="45" t="str">
        <f aca="false">IF(H151="","",B151&amp;"|"&amp;H151)</f>
        <v>IW13|Brick</v>
      </c>
      <c r="K151" s="46" t="n">
        <v>2</v>
      </c>
      <c r="L151" s="47" t="n">
        <f aca="false">IF(H151="",C151,WORKDAY(INDEX($O$2:$O$2000,MATCH(J151,$I$2:$I$2000,0)),1))</f>
        <v>46310</v>
      </c>
      <c r="M151" s="47" t="str">
        <f aca="false">IF(G151="","",IFERROR(maxifs($O$2:O150,$G$2:G150,G151),""))</f>
        <v/>
      </c>
      <c r="N151" s="47" t="n">
        <f aca="false">IF(G151="",L151,MAX(L151,IF(M151="",L151,WORKDAY(M151,1))))</f>
        <v>46310</v>
      </c>
      <c r="O151" s="47" t="n">
        <f aca="false">WORKDAY(N151,K151-1)</f>
        <v>46311</v>
      </c>
      <c r="P151" s="45" t="n">
        <f aca="false">MAX(0,NETWORKDAYS(L151,N151)-1)</f>
        <v>0</v>
      </c>
      <c r="Q151" s="45" t="str">
        <f aca="false">IF(P151&gt;0,"BOTTLENECK DELAY","")</f>
        <v/>
      </c>
    </row>
    <row r="152" customFormat="false" ht="15" hidden="false" customHeight="false" outlineLevel="0" collapsed="false">
      <c r="A152" s="0" t="n">
        <v>151</v>
      </c>
      <c r="B152" s="0" t="s">
        <v>110</v>
      </c>
      <c r="C152" s="44" t="n">
        <f aca="false">INDEX(Projects!$B$2:$B$100,MATCH(B152,Projects!$A$2:$A$100,0))</f>
        <v>46176</v>
      </c>
      <c r="D152" s="0" t="n">
        <v>19</v>
      </c>
      <c r="E152" s="0" t="s">
        <v>75</v>
      </c>
      <c r="F152" s="0" t="s">
        <v>124</v>
      </c>
      <c r="H152" s="0" t="s">
        <v>96</v>
      </c>
      <c r="I152" s="45" t="str">
        <f aca="false">B152&amp;"|"&amp;E152</f>
        <v>IW13|Irrigation</v>
      </c>
      <c r="J152" s="45" t="str">
        <f aca="false">IF(H152="","",B152&amp;"|"&amp;H152)</f>
        <v>IW13|Rough Grade</v>
      </c>
      <c r="K152" s="46" t="n">
        <v>2</v>
      </c>
      <c r="L152" s="47" t="n">
        <f aca="false">IF(H152="",C152,WORKDAY(INDEX($O$2:$O$2000,MATCH(J152,$I$2:$I$2000,0)),1))</f>
        <v>46314</v>
      </c>
      <c r="M152" s="47" t="str">
        <f aca="false">IF(G152="","",IFERROR(maxifs($O$2:O151,$G$2:G151,G152),""))</f>
        <v/>
      </c>
      <c r="N152" s="47" t="n">
        <f aca="false">IF(G152="",L152,MAX(L152,IF(M152="",L152,WORKDAY(M152,1))))</f>
        <v>46314</v>
      </c>
      <c r="O152" s="47" t="n">
        <f aca="false">WORKDAY(N152,K152-1)</f>
        <v>46315</v>
      </c>
      <c r="P152" s="45" t="n">
        <f aca="false">MAX(0,NETWORKDAYS(L152,N152)-1)</f>
        <v>0</v>
      </c>
      <c r="Q152" s="45" t="str">
        <f aca="false">IF(P152&gt;0,"BOTTLENECK DELAY","")</f>
        <v/>
      </c>
    </row>
    <row r="153" customFormat="false" ht="15" hidden="false" customHeight="false" outlineLevel="0" collapsed="false">
      <c r="A153" s="0" t="n">
        <v>152</v>
      </c>
      <c r="B153" s="0" t="s">
        <v>110</v>
      </c>
      <c r="C153" s="44" t="n">
        <f aca="false">INDEX(Projects!$B$2:$B$100,MATCH(B153,Projects!$A$2:$A$100,0))</f>
        <v>46176</v>
      </c>
      <c r="D153" s="0" t="n">
        <v>20</v>
      </c>
      <c r="E153" s="0" t="s">
        <v>71</v>
      </c>
      <c r="F153" s="0" t="s">
        <v>69</v>
      </c>
      <c r="H153" s="0" t="s">
        <v>75</v>
      </c>
      <c r="I153" s="45" t="str">
        <f aca="false">B153&amp;"|"&amp;E153</f>
        <v>IW13|Finish Grade</v>
      </c>
      <c r="J153" s="45" t="str">
        <f aca="false">IF(H153="","",B153&amp;"|"&amp;H153)</f>
        <v>IW13|Irrigation</v>
      </c>
      <c r="K153" s="46" t="n">
        <v>2</v>
      </c>
      <c r="L153" s="47" t="n">
        <f aca="false">IF(H153="",C153,WORKDAY(INDEX($O$2:$O$2000,MATCH(J153,$I$2:$I$2000,0)),1))</f>
        <v>46316</v>
      </c>
      <c r="M153" s="47" t="str">
        <f aca="false">IF(G153="","",IFERROR(maxifs($O$2:O152,$G$2:G152,G153),""))</f>
        <v/>
      </c>
      <c r="N153" s="47" t="n">
        <f aca="false">IF(G153="",L153,MAX(L153,IF(M153="",L153,WORKDAY(M153,1))))</f>
        <v>46316</v>
      </c>
      <c r="O153" s="47" t="n">
        <f aca="false">WORKDAY(N153,K153-1)</f>
        <v>46317</v>
      </c>
      <c r="P153" s="45" t="n">
        <f aca="false">MAX(0,NETWORKDAYS(L153,N153)-1)</f>
        <v>0</v>
      </c>
      <c r="Q153" s="45" t="str">
        <f aca="false">IF(P153&gt;0,"BOTTLENECK DELAY","")</f>
        <v/>
      </c>
    </row>
    <row r="154" customFormat="false" ht="15" hidden="false" customHeight="false" outlineLevel="0" collapsed="false">
      <c r="A154" s="0" t="n">
        <v>153</v>
      </c>
      <c r="B154" s="0" t="s">
        <v>110</v>
      </c>
      <c r="C154" s="44" t="n">
        <f aca="false">INDEX(Projects!$B$2:$B$100,MATCH(B154,Projects!$A$2:$A$100,0))</f>
        <v>46176</v>
      </c>
      <c r="D154" s="0" t="n">
        <v>21</v>
      </c>
      <c r="E154" s="0" t="s">
        <v>125</v>
      </c>
      <c r="F154" s="0" t="s">
        <v>69</v>
      </c>
      <c r="H154" s="0" t="s">
        <v>75</v>
      </c>
      <c r="I154" s="45" t="str">
        <f aca="false">B154&amp;"|"&amp;E154</f>
        <v>IW13|Landscaping</v>
      </c>
      <c r="J154" s="45" t="str">
        <f aca="false">IF(H154="","",B154&amp;"|"&amp;H154)</f>
        <v>IW13|Irrigation</v>
      </c>
      <c r="K154" s="46" t="n">
        <v>2</v>
      </c>
      <c r="L154" s="47" t="n">
        <f aca="false">IF(H154="",C154,WORKDAY(INDEX($O$2:$O$2000,MATCH(J154,$I$2:$I$2000,0)),1))</f>
        <v>46316</v>
      </c>
      <c r="M154" s="47" t="str">
        <f aca="false">IF(G154="","",IFERROR(maxifs($O$2:O153,$G$2:G153,G154),""))</f>
        <v/>
      </c>
      <c r="N154" s="47" t="n">
        <f aca="false">IF(G154="",L154,MAX(L154,IF(M154="",L154,WORKDAY(M154,1))))</f>
        <v>46316</v>
      </c>
      <c r="O154" s="47" t="n">
        <f aca="false">WORKDAY(N154,K154-1)</f>
        <v>46317</v>
      </c>
      <c r="P154" s="45" t="n">
        <f aca="false">MAX(0,NETWORKDAYS(L154,N154)-1)</f>
        <v>0</v>
      </c>
      <c r="Q154" s="45" t="str">
        <f aca="false">IF(P154&gt;0,"BOTTLENECK DELAY","")</f>
        <v/>
      </c>
    </row>
    <row r="155" customFormat="false" ht="15" hidden="false" customHeight="false" outlineLevel="0" collapsed="false">
      <c r="A155" s="0" t="n">
        <v>154</v>
      </c>
      <c r="B155" s="0" t="s">
        <v>110</v>
      </c>
      <c r="C155" s="44" t="n">
        <f aca="false">INDEX(Projects!$B$2:$B$100,MATCH(B155,Projects!$A$2:$A$100,0))</f>
        <v>46176</v>
      </c>
      <c r="D155" s="0" t="n">
        <v>22</v>
      </c>
      <c r="E155" s="0" t="s">
        <v>77</v>
      </c>
      <c r="F155" s="0" t="s">
        <v>76</v>
      </c>
      <c r="H155" s="0" t="s">
        <v>71</v>
      </c>
      <c r="I155" s="45" t="str">
        <f aca="false">B155&amp;"|"&amp;E155</f>
        <v>IW13|Lawn Seeding</v>
      </c>
      <c r="J155" s="45" t="str">
        <f aca="false">IF(H155="","",B155&amp;"|"&amp;H155)</f>
        <v>IW13|Finish Grade</v>
      </c>
      <c r="K155" s="46" t="n">
        <v>2</v>
      </c>
      <c r="L155" s="47" t="n">
        <f aca="false">IF(H155="",C155,WORKDAY(INDEX($O$2:$O$2000,MATCH(J155,$I$2:$I$2000,0)),1))</f>
        <v>46318</v>
      </c>
      <c r="M155" s="47" t="str">
        <f aca="false">IF(G155="","",IFERROR(maxifs($O$2:O154,$G$2:G154,G155),""))</f>
        <v/>
      </c>
      <c r="N155" s="47" t="n">
        <f aca="false">IF(G155="",L155,MAX(L155,IF(M155="",L155,WORKDAY(M155,1))))</f>
        <v>46318</v>
      </c>
      <c r="O155" s="47" t="n">
        <f aca="false">WORKDAY(N155,K155-1)</f>
        <v>46321</v>
      </c>
      <c r="P155" s="45" t="n">
        <f aca="false">MAX(0,NETWORKDAYS(L155,N155)-1)</f>
        <v>0</v>
      </c>
      <c r="Q155" s="45" t="str">
        <f aca="false">IF(P155&gt;0,"BOTTLENECK DELAY","")</f>
        <v/>
      </c>
    </row>
    <row r="156" customFormat="false" ht="15" hidden="false" customHeight="false" outlineLevel="0" collapsed="false">
      <c r="A156" s="0" t="n">
        <v>155</v>
      </c>
      <c r="B156" s="0" t="s">
        <v>110</v>
      </c>
      <c r="C156" s="44" t="n">
        <f aca="false">INDEX(Projects!$B$2:$B$100,MATCH(B156,Projects!$A$2:$A$100,0))</f>
        <v>46176</v>
      </c>
      <c r="D156" s="0" t="n">
        <v>23</v>
      </c>
      <c r="E156" s="0" t="s">
        <v>97</v>
      </c>
      <c r="H156" s="0" t="s">
        <v>96</v>
      </c>
      <c r="I156" s="45" t="str">
        <f aca="false">B156&amp;"|"&amp;E156</f>
        <v>IW13|Gutter drains</v>
      </c>
      <c r="J156" s="45" t="str">
        <f aca="false">IF(H156="","",B156&amp;"|"&amp;H156)</f>
        <v>IW13|Rough Grade</v>
      </c>
      <c r="K156" s="46" t="n">
        <v>2</v>
      </c>
      <c r="L156" s="47" t="n">
        <f aca="false">IF(H156="",C156,WORKDAY(INDEX($O$2:$O$2000,MATCH(J156,$I$2:$I$2000,0)),1))</f>
        <v>46314</v>
      </c>
      <c r="M156" s="47" t="str">
        <f aca="false">IF(G156="","",IFERROR(maxifs($O$2:O155,$G$2:G155,G156),""))</f>
        <v/>
      </c>
      <c r="N156" s="47" t="n">
        <f aca="false">IF(G156="",L156,MAX(L156,IF(M156="",L156,WORKDAY(M156,1))))</f>
        <v>46314</v>
      </c>
      <c r="O156" s="47" t="n">
        <f aca="false">WORKDAY(N156,K156-1)</f>
        <v>46315</v>
      </c>
      <c r="P156" s="45" t="n">
        <f aca="false">MAX(0,NETWORKDAYS(L156,N156)-1)</f>
        <v>0</v>
      </c>
      <c r="Q156" s="45" t="str">
        <f aca="false">IF(P156&gt;0,"BOTTLENECK DELAY","")</f>
        <v/>
      </c>
    </row>
    <row r="157" customFormat="false" ht="15" hidden="false" customHeight="false" outlineLevel="0" collapsed="false">
      <c r="A157" s="0" t="n">
        <v>156</v>
      </c>
      <c r="B157" s="0" t="s">
        <v>110</v>
      </c>
      <c r="C157" s="44" t="n">
        <f aca="false">INDEX(Projects!$B$2:$B$100,MATCH(B157,Projects!$A$2:$A$100,0))</f>
        <v>46176</v>
      </c>
      <c r="D157" s="0" t="n">
        <v>24</v>
      </c>
      <c r="E157" s="0" t="s">
        <v>37</v>
      </c>
      <c r="F157" s="0" t="s">
        <v>35</v>
      </c>
      <c r="H157" s="0" t="s">
        <v>26</v>
      </c>
      <c r="I157" s="45" t="str">
        <f aca="false">B157&amp;"|"&amp;E157</f>
        <v>IW13|HVAC Rough</v>
      </c>
      <c r="J157" s="45" t="str">
        <f aca="false">IF(H157="","",B157&amp;"|"&amp;H157)</f>
        <v>IW13|Framing</v>
      </c>
      <c r="K157" s="46" t="n">
        <v>5</v>
      </c>
      <c r="L157" s="47" t="n">
        <f aca="false">IF(H157="",C157,WORKDAY(INDEX($O$2:$O$2000,MATCH(J157,$I$2:$I$2000,0)),1))</f>
        <v>46276</v>
      </c>
      <c r="M157" s="47" t="str">
        <f aca="false">IF(G157="","",IFERROR(maxifs($O$2:O156,$G$2:G156,G157),""))</f>
        <v/>
      </c>
      <c r="N157" s="47" t="n">
        <f aca="false">IF(G157="",L157,MAX(L157,IF(M157="",L157,WORKDAY(M157,1))))</f>
        <v>46276</v>
      </c>
      <c r="O157" s="47" t="n">
        <f aca="false">WORKDAY(N157,K157-1)</f>
        <v>46282</v>
      </c>
      <c r="P157" s="45" t="n">
        <f aca="false">MAX(0,NETWORKDAYS(L157,N157)-1)</f>
        <v>0</v>
      </c>
      <c r="Q157" s="45" t="str">
        <f aca="false">IF(P157&gt;0,"BOTTLENECK DELAY","")</f>
        <v/>
      </c>
    </row>
    <row r="158" customFormat="false" ht="15" hidden="false" customHeight="false" outlineLevel="0" collapsed="false">
      <c r="A158" s="0" t="n">
        <v>157</v>
      </c>
      <c r="B158" s="0" t="s">
        <v>110</v>
      </c>
      <c r="C158" s="44" t="n">
        <f aca="false">INDEX(Projects!$B$2:$B$100,MATCH(B158,Projects!$A$2:$A$100,0))</f>
        <v>46176</v>
      </c>
      <c r="D158" s="0" t="n">
        <v>25</v>
      </c>
      <c r="E158" s="0" t="s">
        <v>41</v>
      </c>
      <c r="F158" s="0" t="s">
        <v>39</v>
      </c>
      <c r="G158" s="0" t="s">
        <v>39</v>
      </c>
      <c r="H158" s="0" t="s">
        <v>26</v>
      </c>
      <c r="I158" s="45" t="str">
        <f aca="false">B158&amp;"|"&amp;E158</f>
        <v>IW13|Plumbing Rough</v>
      </c>
      <c r="J158" s="45" t="str">
        <f aca="false">IF(H158="","",B158&amp;"|"&amp;H158)</f>
        <v>IW13|Framing</v>
      </c>
      <c r="K158" s="46" t="n">
        <v>5</v>
      </c>
      <c r="L158" s="47" t="n">
        <f aca="false">IF(H158="",C158,WORKDAY(INDEX($O$2:$O$2000,MATCH(J158,$I$2:$I$2000,0)),1))</f>
        <v>46276</v>
      </c>
      <c r="M158" s="47" t="str">
        <f aca="false">IF(G158="","",IFERROR(maxifs($O$2:O157,$G$2:G157,G158),""))</f>
        <v/>
      </c>
      <c r="N158" s="47" t="n">
        <f aca="false">IF(G158="",L158,MAX(L158,IF(M158="",L158,WORKDAY(M158,1))))</f>
        <v>46276</v>
      </c>
      <c r="O158" s="47" t="n">
        <f aca="false">WORKDAY(N158,K158-1)</f>
        <v>46282</v>
      </c>
      <c r="P158" s="45" t="n">
        <f aca="false">MAX(0,NETWORKDAYS(L158,N158)-1)</f>
        <v>0</v>
      </c>
      <c r="Q158" s="45" t="str">
        <f aca="false">IF(P158&gt;0,"BOTTLENECK DELAY","")</f>
        <v/>
      </c>
    </row>
    <row r="159" customFormat="false" ht="15" hidden="false" customHeight="false" outlineLevel="0" collapsed="false">
      <c r="A159" s="0" t="n">
        <v>158</v>
      </c>
      <c r="B159" s="0" t="s">
        <v>110</v>
      </c>
      <c r="C159" s="44" t="n">
        <f aca="false">INDEX(Projects!$B$2:$B$100,MATCH(B159,Projects!$A$2:$A$100,0))</f>
        <v>46176</v>
      </c>
      <c r="D159" s="0" t="n">
        <v>26</v>
      </c>
      <c r="E159" s="0" t="s">
        <v>32</v>
      </c>
      <c r="F159" s="0" t="s">
        <v>30</v>
      </c>
      <c r="H159" s="0" t="s">
        <v>26</v>
      </c>
      <c r="I159" s="45" t="str">
        <f aca="false">B159&amp;"|"&amp;E159</f>
        <v>IW13|Electrical Rough</v>
      </c>
      <c r="J159" s="45" t="str">
        <f aca="false">IF(H159="","",B159&amp;"|"&amp;H159)</f>
        <v>IW13|Framing</v>
      </c>
      <c r="K159" s="46" t="n">
        <v>10</v>
      </c>
      <c r="L159" s="47" t="n">
        <f aca="false">IF(H159="",C159,WORKDAY(INDEX($O$2:$O$2000,MATCH(J159,$I$2:$I$2000,0)),1))</f>
        <v>46276</v>
      </c>
      <c r="M159" s="47" t="str">
        <f aca="false">IF(G159="","",IFERROR(maxifs($O$2:O158,$G$2:G158,G159),""))</f>
        <v/>
      </c>
      <c r="N159" s="47" t="n">
        <f aca="false">IF(G159="",L159,MAX(L159,IF(M159="",L159,WORKDAY(M159,1))))</f>
        <v>46276</v>
      </c>
      <c r="O159" s="47" t="n">
        <f aca="false">WORKDAY(N159,K159-1)</f>
        <v>46289</v>
      </c>
      <c r="P159" s="45" t="n">
        <f aca="false">MAX(0,NETWORKDAYS(L159,N159)-1)</f>
        <v>0</v>
      </c>
      <c r="Q159" s="45" t="str">
        <f aca="false">IF(P159&gt;0,"BOTTLENECK DELAY","")</f>
        <v/>
      </c>
    </row>
    <row r="160" customFormat="false" ht="15" hidden="false" customHeight="false" outlineLevel="0" collapsed="false">
      <c r="A160" s="0" t="n">
        <v>159</v>
      </c>
      <c r="B160" s="0" t="s">
        <v>110</v>
      </c>
      <c r="C160" s="44" t="n">
        <f aca="false">INDEX(Projects!$B$2:$B$100,MATCH(B160,Projects!$A$2:$A$100,0))</f>
        <v>46176</v>
      </c>
      <c r="D160" s="0" t="n">
        <v>27</v>
      </c>
      <c r="E160" s="0" t="s">
        <v>48</v>
      </c>
      <c r="F160" s="0" t="s">
        <v>46</v>
      </c>
      <c r="H160" s="0" t="s">
        <v>32</v>
      </c>
      <c r="I160" s="45" t="str">
        <f aca="false">B160&amp;"|"&amp;E160</f>
        <v>IW13|Insulation Walls</v>
      </c>
      <c r="J160" s="45" t="str">
        <f aca="false">IF(H160="","",B160&amp;"|"&amp;H160)</f>
        <v>IW13|Electrical Rough</v>
      </c>
      <c r="K160" s="46" t="n">
        <v>2</v>
      </c>
      <c r="L160" s="47" t="n">
        <f aca="false">IF(H160="",C160,WORKDAY(INDEX($O$2:$O$2000,MATCH(J160,$I$2:$I$2000,0)),1))</f>
        <v>46290</v>
      </c>
      <c r="M160" s="47" t="str">
        <f aca="false">IF(G160="","",IFERROR(maxifs($O$2:O159,$G$2:G159,G160),""))</f>
        <v/>
      </c>
      <c r="N160" s="47" t="n">
        <f aca="false">IF(G160="",L160,MAX(L160,IF(M160="",L160,WORKDAY(M160,1))))</f>
        <v>46290</v>
      </c>
      <c r="O160" s="47" t="n">
        <f aca="false">WORKDAY(N160,K160-1)</f>
        <v>46293</v>
      </c>
      <c r="P160" s="45" t="n">
        <f aca="false">MAX(0,NETWORKDAYS(L160,N160)-1)</f>
        <v>0</v>
      </c>
      <c r="Q160" s="45" t="str">
        <f aca="false">IF(P160&gt;0,"BOTTLENECK DELAY","")</f>
        <v/>
      </c>
    </row>
    <row r="161" customFormat="false" ht="15" hidden="false" customHeight="false" outlineLevel="0" collapsed="false">
      <c r="A161" s="0" t="n">
        <v>160</v>
      </c>
      <c r="B161" s="0" t="s">
        <v>110</v>
      </c>
      <c r="C161" s="44" t="n">
        <f aca="false">INDEX(Projects!$B$2:$B$100,MATCH(B161,Projects!$A$2:$A$100,0))</f>
        <v>46176</v>
      </c>
      <c r="D161" s="0" t="n">
        <v>28</v>
      </c>
      <c r="E161" s="0" t="s">
        <v>51</v>
      </c>
      <c r="F161" s="0" t="s">
        <v>50</v>
      </c>
      <c r="H161" s="0" t="s">
        <v>48</v>
      </c>
      <c r="I161" s="45" t="str">
        <f aca="false">B161&amp;"|"&amp;E161</f>
        <v>IW13|Sheetrock</v>
      </c>
      <c r="J161" s="45" t="str">
        <f aca="false">IF(H161="","",B161&amp;"|"&amp;H161)</f>
        <v>IW13|Insulation Walls</v>
      </c>
      <c r="K161" s="46" t="n">
        <v>15</v>
      </c>
      <c r="L161" s="47" t="n">
        <f aca="false">IF(H161="",C161,WORKDAY(INDEX($O$2:$O$2000,MATCH(J161,$I$2:$I$2000,0)),1))</f>
        <v>46294</v>
      </c>
      <c r="M161" s="47" t="str">
        <f aca="false">IF(G161="","",IFERROR(maxifs($O$2:O160,$G$2:G160,G161),""))</f>
        <v/>
      </c>
      <c r="N161" s="47" t="n">
        <f aca="false">IF(G161="",L161,MAX(L161,IF(M161="",L161,WORKDAY(M161,1))))</f>
        <v>46294</v>
      </c>
      <c r="O161" s="47" t="n">
        <f aca="false">WORKDAY(N161,K161-1)</f>
        <v>46314</v>
      </c>
      <c r="P161" s="45" t="n">
        <f aca="false">MAX(0,NETWORKDAYS(L161,N161)-1)</f>
        <v>0</v>
      </c>
      <c r="Q161" s="45" t="str">
        <f aca="false">IF(P161&gt;0,"BOTTLENECK DELAY","")</f>
        <v/>
      </c>
    </row>
    <row r="162" customFormat="false" ht="15" hidden="false" customHeight="false" outlineLevel="0" collapsed="false">
      <c r="A162" s="0" t="n">
        <v>161</v>
      </c>
      <c r="B162" s="0" t="s">
        <v>110</v>
      </c>
      <c r="C162" s="44" t="n">
        <f aca="false">INDEX(Projects!$B$2:$B$100,MATCH(B162,Projects!$A$2:$A$100,0))</f>
        <v>46176</v>
      </c>
      <c r="D162" s="0" t="n">
        <v>29</v>
      </c>
      <c r="E162" s="0" t="s">
        <v>60</v>
      </c>
      <c r="F162" s="0" t="s">
        <v>59</v>
      </c>
      <c r="H162" s="0" t="s">
        <v>51</v>
      </c>
      <c r="I162" s="45" t="str">
        <f aca="false">B162&amp;"|"&amp;E162</f>
        <v>IW13|Painting Primer</v>
      </c>
      <c r="J162" s="45" t="str">
        <f aca="false">IF(H162="","",B162&amp;"|"&amp;H162)</f>
        <v>IW13|Sheetrock</v>
      </c>
      <c r="K162" s="46" t="n">
        <v>3</v>
      </c>
      <c r="L162" s="47" t="n">
        <f aca="false">IF(H162="",C162,WORKDAY(INDEX($O$2:$O$2000,MATCH(J162,$I$2:$I$2000,0)),1))</f>
        <v>46315</v>
      </c>
      <c r="M162" s="47" t="str">
        <f aca="false">IF(G162="","",IFERROR(maxifs($O$2:O161,$G$2:G161,G162),""))</f>
        <v/>
      </c>
      <c r="N162" s="47" t="n">
        <f aca="false">IF(G162="",L162,MAX(L162,IF(M162="",L162,WORKDAY(M162,1))))</f>
        <v>46315</v>
      </c>
      <c r="O162" s="47" t="n">
        <f aca="false">WORKDAY(N162,K162-1)</f>
        <v>46317</v>
      </c>
      <c r="P162" s="45" t="n">
        <f aca="false">MAX(0,NETWORKDAYS(L162,N162)-1)</f>
        <v>0</v>
      </c>
      <c r="Q162" s="45" t="str">
        <f aca="false">IF(P162&gt;0,"BOTTLENECK DELAY","")</f>
        <v/>
      </c>
    </row>
    <row r="163" customFormat="false" ht="15" hidden="false" customHeight="false" outlineLevel="0" collapsed="false">
      <c r="A163" s="0" t="n">
        <v>162</v>
      </c>
      <c r="B163" s="0" t="s">
        <v>110</v>
      </c>
      <c r="C163" s="44" t="n">
        <f aca="false">INDEX(Projects!$B$2:$B$100,MATCH(B163,Projects!$A$2:$A$100,0))</f>
        <v>46176</v>
      </c>
      <c r="D163" s="0" t="n">
        <v>30</v>
      </c>
      <c r="E163" s="0" t="s">
        <v>53</v>
      </c>
      <c r="F163" s="0" t="s">
        <v>52</v>
      </c>
      <c r="H163" s="0" t="s">
        <v>60</v>
      </c>
      <c r="I163" s="45" t="str">
        <f aca="false">B163&amp;"|"&amp;E163</f>
        <v>IW13|Garage Doors</v>
      </c>
      <c r="J163" s="45" t="str">
        <f aca="false">IF(H163="","",B163&amp;"|"&amp;H163)</f>
        <v>IW13|Painting Primer</v>
      </c>
      <c r="K163" s="46" t="n">
        <v>2</v>
      </c>
      <c r="L163" s="47" t="n">
        <f aca="false">IF(H163="",C163,WORKDAY(INDEX($O$2:$O$2000,MATCH(J163,$I$2:$I$2000,0)),1))</f>
        <v>46318</v>
      </c>
      <c r="M163" s="47" t="str">
        <f aca="false">IF(G163="","",IFERROR(maxifs($O$2:O162,$G$2:G162,G163),""))</f>
        <v/>
      </c>
      <c r="N163" s="47" t="n">
        <f aca="false">IF(G163="",L163,MAX(L163,IF(M163="",L163,WORKDAY(M163,1))))</f>
        <v>46318</v>
      </c>
      <c r="O163" s="47" t="n">
        <f aca="false">WORKDAY(N163,K163-1)</f>
        <v>46321</v>
      </c>
      <c r="P163" s="45" t="n">
        <f aca="false">MAX(0,NETWORKDAYS(L163,N163)-1)</f>
        <v>0</v>
      </c>
      <c r="Q163" s="45" t="str">
        <f aca="false">IF(P163&gt;0,"BOTTLENECK DELAY","")</f>
        <v/>
      </c>
    </row>
    <row r="164" customFormat="false" ht="15" hidden="false" customHeight="false" outlineLevel="0" collapsed="false">
      <c r="A164" s="0" t="n">
        <v>163</v>
      </c>
      <c r="B164" s="0" t="s">
        <v>110</v>
      </c>
      <c r="C164" s="44" t="n">
        <f aca="false">INDEX(Projects!$B$2:$B$100,MATCH(B164,Projects!$A$2:$A$100,0))</f>
        <v>46176</v>
      </c>
      <c r="D164" s="0" t="n">
        <v>31</v>
      </c>
      <c r="E164" s="0" t="s">
        <v>44</v>
      </c>
      <c r="F164" s="0" t="s">
        <v>43</v>
      </c>
      <c r="H164" s="0" t="s">
        <v>60</v>
      </c>
      <c r="I164" s="45" t="str">
        <f aca="false">B164&amp;"|"&amp;E164</f>
        <v>IW13|Flooring</v>
      </c>
      <c r="J164" s="45" t="str">
        <f aca="false">IF(H164="","",B164&amp;"|"&amp;H164)</f>
        <v>IW13|Painting Primer</v>
      </c>
      <c r="K164" s="46" t="n">
        <v>5</v>
      </c>
      <c r="L164" s="47" t="n">
        <f aca="false">IF(H164="",C164,WORKDAY(INDEX($O$2:$O$2000,MATCH(J164,$I$2:$I$2000,0)),1))</f>
        <v>46318</v>
      </c>
      <c r="M164" s="47" t="str">
        <f aca="false">IF(G164="","",IFERROR(maxifs($O$2:O163,$G$2:G163,G164),""))</f>
        <v/>
      </c>
      <c r="N164" s="47" t="n">
        <f aca="false">IF(G164="",L164,MAX(L164,IF(M164="",L164,WORKDAY(M164,1))))</f>
        <v>46318</v>
      </c>
      <c r="O164" s="47" t="n">
        <f aca="false">WORKDAY(N164,K164-1)</f>
        <v>46324</v>
      </c>
      <c r="P164" s="45" t="n">
        <f aca="false">MAX(0,NETWORKDAYS(L164,N164)-1)</f>
        <v>0</v>
      </c>
      <c r="Q164" s="45" t="str">
        <f aca="false">IF(P164&gt;0,"BOTTLENECK DELAY","")</f>
        <v/>
      </c>
    </row>
    <row r="165" customFormat="false" ht="15" hidden="false" customHeight="false" outlineLevel="0" collapsed="false">
      <c r="A165" s="0" t="n">
        <v>164</v>
      </c>
      <c r="B165" s="0" t="s">
        <v>110</v>
      </c>
      <c r="C165" s="44" t="n">
        <f aca="false">INDEX(Projects!$B$2:$B$100,MATCH(B165,Projects!$A$2:$A$100,0))</f>
        <v>46176</v>
      </c>
      <c r="D165" s="0" t="n">
        <v>32</v>
      </c>
      <c r="E165" s="0" t="s">
        <v>45</v>
      </c>
      <c r="F165" s="0" t="s">
        <v>43</v>
      </c>
      <c r="H165" s="0" t="s">
        <v>60</v>
      </c>
      <c r="I165" s="45" t="str">
        <f aca="false">B165&amp;"|"&amp;E165</f>
        <v>IW13|Tile Work</v>
      </c>
      <c r="J165" s="45" t="str">
        <f aca="false">IF(H165="","",B165&amp;"|"&amp;H165)</f>
        <v>IW13|Painting Primer</v>
      </c>
      <c r="K165" s="46" t="n">
        <v>8</v>
      </c>
      <c r="L165" s="47" t="n">
        <f aca="false">IF(H165="",C165,WORKDAY(INDEX($O$2:$O$2000,MATCH(J165,$I$2:$I$2000,0)),1))</f>
        <v>46318</v>
      </c>
      <c r="M165" s="47" t="str">
        <f aca="false">IF(G165="","",IFERROR(maxifs($O$2:O164,$G$2:G164,G165),""))</f>
        <v/>
      </c>
      <c r="N165" s="47" t="n">
        <f aca="false">IF(G165="",L165,MAX(L165,IF(M165="",L165,WORKDAY(M165,1))))</f>
        <v>46318</v>
      </c>
      <c r="O165" s="47" t="n">
        <f aca="false">WORKDAY(N165,K165-1)</f>
        <v>46329</v>
      </c>
      <c r="P165" s="45" t="n">
        <f aca="false">MAX(0,NETWORKDAYS(L165,N165)-1)</f>
        <v>0</v>
      </c>
      <c r="Q165" s="45" t="str">
        <f aca="false">IF(P165&gt;0,"BOTTLENECK DELAY","")</f>
        <v/>
      </c>
    </row>
    <row r="166" customFormat="false" ht="15" hidden="false" customHeight="false" outlineLevel="0" collapsed="false">
      <c r="A166" s="0" t="n">
        <v>165</v>
      </c>
      <c r="B166" s="0" t="s">
        <v>110</v>
      </c>
      <c r="C166" s="44" t="n">
        <f aca="false">INDEX(Projects!$B$2:$B$100,MATCH(B166,Projects!$A$2:$A$100,0))</f>
        <v>46176</v>
      </c>
      <c r="D166" s="0" t="n">
        <v>33</v>
      </c>
      <c r="E166" s="0" t="s">
        <v>126</v>
      </c>
      <c r="F166" s="0" t="s">
        <v>56</v>
      </c>
      <c r="G166" s="0" t="s">
        <v>56</v>
      </c>
      <c r="H166" s="0" t="s">
        <v>44</v>
      </c>
      <c r="I166" s="45" t="str">
        <f aca="false">B166&amp;"|"&amp;E166</f>
        <v>IW13|Trim Interior</v>
      </c>
      <c r="J166" s="45" t="str">
        <f aca="false">IF(H166="","",B166&amp;"|"&amp;H166)</f>
        <v>IW13|Flooring</v>
      </c>
      <c r="K166" s="46" t="n">
        <v>20</v>
      </c>
      <c r="L166" s="47" t="n">
        <f aca="false">IF(H166="",C166,WORKDAY(INDEX($O$2:$O$2000,MATCH(J166,$I$2:$I$2000,0)),1))</f>
        <v>46325</v>
      </c>
      <c r="M166" s="47" t="str">
        <f aca="false">IF(G166="","",IFERROR(maxifs($O$2:O165,$G$2:G165,G166),""))</f>
        <v/>
      </c>
      <c r="N166" s="47" t="n">
        <f aca="false">IF(G166="",L166,MAX(L166,IF(M166="",L166,WORKDAY(M166,1))))</f>
        <v>46325</v>
      </c>
      <c r="O166" s="47" t="n">
        <f aca="false">WORKDAY(N166,K166-1)</f>
        <v>46352</v>
      </c>
      <c r="P166" s="45" t="n">
        <f aca="false">MAX(0,NETWORKDAYS(L166,N166)-1)</f>
        <v>0</v>
      </c>
      <c r="Q166" s="45" t="str">
        <f aca="false">IF(P166&gt;0,"BOTTLENECK DELAY","")</f>
        <v/>
      </c>
    </row>
    <row r="167" customFormat="false" ht="15" hidden="false" customHeight="false" outlineLevel="0" collapsed="false">
      <c r="A167" s="0" t="n">
        <v>166</v>
      </c>
      <c r="B167" s="0" t="s">
        <v>110</v>
      </c>
      <c r="C167" s="44" t="n">
        <f aca="false">INDEX(Projects!$B$2:$B$100,MATCH(B167,Projects!$A$2:$A$100,0))</f>
        <v>46176</v>
      </c>
      <c r="D167" s="0" t="n">
        <v>34</v>
      </c>
      <c r="E167" s="0" t="s">
        <v>58</v>
      </c>
      <c r="F167" s="0" t="s">
        <v>56</v>
      </c>
      <c r="G167" s="0" t="s">
        <v>56</v>
      </c>
      <c r="H167" s="0" t="s">
        <v>27</v>
      </c>
      <c r="I167" s="45" t="str">
        <f aca="false">B167&amp;"|"&amp;E167</f>
        <v>IW13|Trim Exterior</v>
      </c>
      <c r="J167" s="45" t="str">
        <f aca="false">IF(H167="","",B167&amp;"|"&amp;H167)</f>
        <v>IW13|Siding</v>
      </c>
      <c r="K167" s="46" t="n">
        <v>2</v>
      </c>
      <c r="L167" s="47" t="n">
        <f aca="false">IF(H167="",C167,WORKDAY(INDEX($O$2:$O$2000,MATCH(J167,$I$2:$I$2000,0)),1))</f>
        <v>46310</v>
      </c>
      <c r="M167" s="47" t="str">
        <f aca="false">IF(G167="","",IFERROR(maxifs($O$2:O166,$G$2:G166,G167),""))</f>
        <v/>
      </c>
      <c r="N167" s="47" t="n">
        <f aca="false">IF(G167="",L167,MAX(L167,IF(M167="",L167,WORKDAY(M167,1))))</f>
        <v>46310</v>
      </c>
      <c r="O167" s="47" t="n">
        <f aca="false">WORKDAY(N167,K167-1)</f>
        <v>46311</v>
      </c>
      <c r="P167" s="45" t="n">
        <f aca="false">MAX(0,NETWORKDAYS(L167,N167)-1)</f>
        <v>0</v>
      </c>
      <c r="Q167" s="45" t="str">
        <f aca="false">IF(P167&gt;0,"BOTTLENECK DELAY","")</f>
        <v/>
      </c>
    </row>
    <row r="168" customFormat="false" ht="15" hidden="false" customHeight="false" outlineLevel="0" collapsed="false">
      <c r="A168" s="0" t="n">
        <v>167</v>
      </c>
      <c r="B168" s="0" t="s">
        <v>110</v>
      </c>
      <c r="C168" s="44" t="n">
        <f aca="false">INDEX(Projects!$B$2:$B$100,MATCH(B168,Projects!$A$2:$A$100,0))</f>
        <v>46176</v>
      </c>
      <c r="D168" s="0" t="n">
        <v>35</v>
      </c>
      <c r="E168" s="0" t="s">
        <v>64</v>
      </c>
      <c r="F168" s="0" t="s">
        <v>63</v>
      </c>
      <c r="H168" s="0" t="s">
        <v>44</v>
      </c>
      <c r="I168" s="45" t="str">
        <f aca="false">B168&amp;"|"&amp;E168</f>
        <v>IW13|Cabinets</v>
      </c>
      <c r="J168" s="45" t="str">
        <f aca="false">IF(H168="","",B168&amp;"|"&amp;H168)</f>
        <v>IW13|Flooring</v>
      </c>
      <c r="K168" s="46" t="n">
        <v>3</v>
      </c>
      <c r="L168" s="47" t="n">
        <f aca="false">IF(H168="",C168,WORKDAY(INDEX($O$2:$O$2000,MATCH(J168,$I$2:$I$2000,0)),1))</f>
        <v>46325</v>
      </c>
      <c r="M168" s="47" t="str">
        <f aca="false">IF(G168="","",IFERROR(maxifs($O$2:O167,$G$2:G167,G168),""))</f>
        <v/>
      </c>
      <c r="N168" s="47" t="n">
        <f aca="false">IF(G168="",L168,MAX(L168,IF(M168="",L168,WORKDAY(M168,1))))</f>
        <v>46325</v>
      </c>
      <c r="O168" s="47" t="n">
        <f aca="false">WORKDAY(N168,K168-1)</f>
        <v>46329</v>
      </c>
      <c r="P168" s="45" t="n">
        <f aca="false">MAX(0,NETWORKDAYS(L168,N168)-1)</f>
        <v>0</v>
      </c>
      <c r="Q168" s="45" t="str">
        <f aca="false">IF(P168&gt;0,"BOTTLENECK DELAY","")</f>
        <v/>
      </c>
    </row>
    <row r="169" customFormat="false" ht="15" hidden="false" customHeight="false" outlineLevel="0" collapsed="false">
      <c r="A169" s="0" t="n">
        <v>168</v>
      </c>
      <c r="B169" s="0" t="s">
        <v>110</v>
      </c>
      <c r="C169" s="44" t="n">
        <f aca="false">INDEX(Projects!$B$2:$B$100,MATCH(B169,Projects!$A$2:$A$100,0))</f>
        <v>46176</v>
      </c>
      <c r="D169" s="0" t="n">
        <v>36</v>
      </c>
      <c r="E169" s="0" t="s">
        <v>66</v>
      </c>
      <c r="F169" s="0" t="s">
        <v>65</v>
      </c>
      <c r="H169" s="0" t="s">
        <v>64</v>
      </c>
      <c r="I169" s="45" t="str">
        <f aca="false">B169&amp;"|"&amp;E169</f>
        <v>IW13|Countertops</v>
      </c>
      <c r="J169" s="45" t="str">
        <f aca="false">IF(H169="","",B169&amp;"|"&amp;H169)</f>
        <v>IW13|Cabinets</v>
      </c>
      <c r="K169" s="46" t="n">
        <v>2</v>
      </c>
      <c r="L169" s="47" t="n">
        <f aca="false">IF(H169="",C169,WORKDAY(INDEX($O$2:$O$2000,MATCH(J169,$I$2:$I$2000,0)),1))</f>
        <v>46330</v>
      </c>
      <c r="M169" s="47" t="str">
        <f aca="false">IF(G169="","",IFERROR(maxifs($O$2:O168,$G$2:G168,G169),""))</f>
        <v/>
      </c>
      <c r="N169" s="47" t="n">
        <f aca="false">IF(G169="",L169,MAX(L169,IF(M169="",L169,WORKDAY(M169,1))))</f>
        <v>46330</v>
      </c>
      <c r="O169" s="47" t="n">
        <f aca="false">WORKDAY(N169,K169-1)</f>
        <v>46331</v>
      </c>
      <c r="P169" s="45" t="n">
        <f aca="false">MAX(0,NETWORKDAYS(L169,N169)-1)</f>
        <v>0</v>
      </c>
      <c r="Q169" s="45" t="str">
        <f aca="false">IF(P169&gt;0,"BOTTLENECK DELAY","")</f>
        <v/>
      </c>
    </row>
    <row r="170" customFormat="false" ht="15" hidden="false" customHeight="false" outlineLevel="0" collapsed="false">
      <c r="A170" s="0" t="n">
        <v>169</v>
      </c>
      <c r="B170" s="0" t="s">
        <v>110</v>
      </c>
      <c r="C170" s="44" t="n">
        <f aca="false">INDEX(Projects!$B$2:$B$100,MATCH(B170,Projects!$A$2:$A$100,0))</f>
        <v>46176</v>
      </c>
      <c r="D170" s="0" t="n">
        <v>37</v>
      </c>
      <c r="E170" s="0" t="s">
        <v>61</v>
      </c>
      <c r="F170" s="0" t="s">
        <v>59</v>
      </c>
      <c r="H170" s="0" t="s">
        <v>66</v>
      </c>
      <c r="I170" s="45" t="str">
        <f aca="false">B170&amp;"|"&amp;E170</f>
        <v>IW13|Painting Main</v>
      </c>
      <c r="J170" s="45" t="str">
        <f aca="false">IF(H170="","",B170&amp;"|"&amp;H170)</f>
        <v>IW13|Countertops</v>
      </c>
      <c r="K170" s="46" t="n">
        <v>10</v>
      </c>
      <c r="L170" s="47" t="n">
        <f aca="false">IF(H170="",C170,WORKDAY(INDEX($O$2:$O$2000,MATCH(J170,$I$2:$I$2000,0)),1))</f>
        <v>46332</v>
      </c>
      <c r="M170" s="47" t="str">
        <f aca="false">IF(G170="","",IFERROR(maxifs($O$2:O169,$G$2:G169,G170),""))</f>
        <v/>
      </c>
      <c r="N170" s="47" t="n">
        <f aca="false">IF(G170="",L170,MAX(L170,IF(M170="",L170,WORKDAY(M170,1))))</f>
        <v>46332</v>
      </c>
      <c r="O170" s="47" t="n">
        <f aca="false">WORKDAY(N170,K170-1)</f>
        <v>46345</v>
      </c>
      <c r="P170" s="45" t="n">
        <f aca="false">MAX(0,NETWORKDAYS(L170,N170)-1)</f>
        <v>0</v>
      </c>
      <c r="Q170" s="45" t="str">
        <f aca="false">IF(P170&gt;0,"BOTTLENECK DELAY","")</f>
        <v/>
      </c>
    </row>
    <row r="171" customFormat="false" ht="15" hidden="false" customHeight="false" outlineLevel="0" collapsed="false">
      <c r="A171" s="0" t="n">
        <v>170</v>
      </c>
      <c r="B171" s="0" t="s">
        <v>110</v>
      </c>
      <c r="C171" s="44" t="n">
        <f aca="false">INDEX(Projects!$B$2:$B$100,MATCH(B171,Projects!$A$2:$A$100,0))</f>
        <v>46176</v>
      </c>
      <c r="D171" s="0" t="n">
        <v>38</v>
      </c>
      <c r="E171" s="0" t="s">
        <v>34</v>
      </c>
      <c r="F171" s="0" t="s">
        <v>30</v>
      </c>
      <c r="H171" s="0" t="s">
        <v>66</v>
      </c>
      <c r="I171" s="45" t="str">
        <f aca="false">B171&amp;"|"&amp;E171</f>
        <v>IW13|Appliances</v>
      </c>
      <c r="J171" s="45" t="str">
        <f aca="false">IF(H171="","",B171&amp;"|"&amp;H171)</f>
        <v>IW13|Countertops</v>
      </c>
      <c r="K171" s="46" t="n">
        <v>2</v>
      </c>
      <c r="L171" s="47" t="n">
        <f aca="false">IF(H171="",C171,WORKDAY(INDEX($O$2:$O$2000,MATCH(J171,$I$2:$I$2000,0)),1))</f>
        <v>46332</v>
      </c>
      <c r="M171" s="47" t="str">
        <f aca="false">IF(G171="","",IFERROR(maxifs($O$2:O170,$G$2:G170,G171),""))</f>
        <v/>
      </c>
      <c r="N171" s="47" t="n">
        <f aca="false">IF(G171="",L171,MAX(L171,IF(M171="",L171,WORKDAY(M171,1))))</f>
        <v>46332</v>
      </c>
      <c r="O171" s="47" t="n">
        <f aca="false">WORKDAY(N171,K171-1)</f>
        <v>46335</v>
      </c>
      <c r="P171" s="45" t="n">
        <f aca="false">MAX(0,NETWORKDAYS(L171,N171)-1)</f>
        <v>0</v>
      </c>
      <c r="Q171" s="45" t="str">
        <f aca="false">IF(P171&gt;0,"BOTTLENECK DELAY","")</f>
        <v/>
      </c>
    </row>
    <row r="172" customFormat="false" ht="15" hidden="false" customHeight="false" outlineLevel="0" collapsed="false">
      <c r="A172" s="0" t="n">
        <v>171</v>
      </c>
      <c r="B172" s="0" t="s">
        <v>110</v>
      </c>
      <c r="C172" s="44" t="n">
        <f aca="false">INDEX(Projects!$B$2:$B$100,MATCH(B172,Projects!$A$2:$A$100,0))</f>
        <v>46176</v>
      </c>
      <c r="D172" s="0" t="n">
        <v>39</v>
      </c>
      <c r="E172" s="0" t="s">
        <v>38</v>
      </c>
      <c r="F172" s="0" t="s">
        <v>35</v>
      </c>
      <c r="H172" s="0" t="s">
        <v>61</v>
      </c>
      <c r="I172" s="45" t="str">
        <f aca="false">B172&amp;"|"&amp;E172</f>
        <v>IW13|HVAC Finish</v>
      </c>
      <c r="J172" s="45" t="str">
        <f aca="false">IF(H172="","",B172&amp;"|"&amp;H172)</f>
        <v>IW13|Painting Main</v>
      </c>
      <c r="K172" s="46" t="n">
        <v>2</v>
      </c>
      <c r="L172" s="47" t="n">
        <f aca="false">IF(H172="",C172,WORKDAY(INDEX($O$2:$O$2000,MATCH(J172,$I$2:$I$2000,0)),1))</f>
        <v>46346</v>
      </c>
      <c r="M172" s="47" t="str">
        <f aca="false">IF(G172="","",IFERROR(maxifs($O$2:O171,$G$2:G171,G172),""))</f>
        <v/>
      </c>
      <c r="N172" s="47" t="n">
        <f aca="false">IF(G172="",L172,MAX(L172,IF(M172="",L172,WORKDAY(M172,1))))</f>
        <v>46346</v>
      </c>
      <c r="O172" s="47" t="n">
        <f aca="false">WORKDAY(N172,K172-1)</f>
        <v>46349</v>
      </c>
      <c r="P172" s="45" t="n">
        <f aca="false">MAX(0,NETWORKDAYS(L172,N172)-1)</f>
        <v>0</v>
      </c>
      <c r="Q172" s="45" t="str">
        <f aca="false">IF(P172&gt;0,"BOTTLENECK DELAY","")</f>
        <v/>
      </c>
    </row>
    <row r="173" customFormat="false" ht="15" hidden="false" customHeight="false" outlineLevel="0" collapsed="false">
      <c r="A173" s="0" t="n">
        <v>172</v>
      </c>
      <c r="B173" s="0" t="s">
        <v>110</v>
      </c>
      <c r="C173" s="44" t="n">
        <f aca="false">INDEX(Projects!$B$2:$B$100,MATCH(B173,Projects!$A$2:$A$100,0))</f>
        <v>46176</v>
      </c>
      <c r="D173" s="0" t="n">
        <v>40</v>
      </c>
      <c r="E173" s="0" t="s">
        <v>42</v>
      </c>
      <c r="F173" s="0" t="s">
        <v>39</v>
      </c>
      <c r="G173" s="0" t="s">
        <v>39</v>
      </c>
      <c r="H173" s="0" t="s">
        <v>66</v>
      </c>
      <c r="I173" s="45" t="str">
        <f aca="false">B173&amp;"|"&amp;E173</f>
        <v>IW13|Plumbing Finish</v>
      </c>
      <c r="J173" s="45" t="str">
        <f aca="false">IF(H173="","",B173&amp;"|"&amp;H173)</f>
        <v>IW13|Countertops</v>
      </c>
      <c r="K173" s="46" t="n">
        <v>2</v>
      </c>
      <c r="L173" s="47" t="n">
        <f aca="false">IF(H173="",C173,WORKDAY(INDEX($O$2:$O$2000,MATCH(J173,$I$2:$I$2000,0)),1))</f>
        <v>46332</v>
      </c>
      <c r="M173" s="47" t="str">
        <f aca="false">IF(G173="","",IFERROR(maxifs($O$2:O172,$G$2:G172,G173),""))</f>
        <v/>
      </c>
      <c r="N173" s="47" t="n">
        <f aca="false">IF(G173="",L173,MAX(L173,IF(M173="",L173,WORKDAY(M173,1))))</f>
        <v>46332</v>
      </c>
      <c r="O173" s="47" t="n">
        <f aca="false">WORKDAY(N173,K173-1)</f>
        <v>46335</v>
      </c>
      <c r="P173" s="45" t="n">
        <f aca="false">MAX(0,NETWORKDAYS(L173,N173)-1)</f>
        <v>0</v>
      </c>
      <c r="Q173" s="45" t="str">
        <f aca="false">IF(P173&gt;0,"BOTTLENECK DELAY","")</f>
        <v/>
      </c>
    </row>
    <row r="174" customFormat="false" ht="15" hidden="false" customHeight="false" outlineLevel="0" collapsed="false">
      <c r="A174" s="0" t="n">
        <v>173</v>
      </c>
      <c r="B174" s="0" t="s">
        <v>110</v>
      </c>
      <c r="C174" s="44" t="n">
        <f aca="false">INDEX(Projects!$B$2:$B$100,MATCH(B174,Projects!$A$2:$A$100,0))</f>
        <v>46176</v>
      </c>
      <c r="D174" s="0" t="n">
        <v>41</v>
      </c>
      <c r="E174" s="0" t="s">
        <v>33</v>
      </c>
      <c r="F174" s="0" t="s">
        <v>30</v>
      </c>
      <c r="H174" s="0" t="s">
        <v>61</v>
      </c>
      <c r="I174" s="45" t="str">
        <f aca="false">B174&amp;"|"&amp;E174</f>
        <v>IW13|Electrical Finish</v>
      </c>
      <c r="J174" s="45" t="str">
        <f aca="false">IF(H174="","",B174&amp;"|"&amp;H174)</f>
        <v>IW13|Painting Main</v>
      </c>
      <c r="K174" s="46" t="n">
        <v>4</v>
      </c>
      <c r="L174" s="47" t="n">
        <f aca="false">IF(H174="",C174,WORKDAY(INDEX($O$2:$O$2000,MATCH(J174,$I$2:$I$2000,0)),1))</f>
        <v>46346</v>
      </c>
      <c r="M174" s="47" t="str">
        <f aca="false">IF(G174="","",IFERROR(maxifs($O$2:O173,$G$2:G173,G174),""))</f>
        <v/>
      </c>
      <c r="N174" s="47" t="n">
        <f aca="false">IF(G174="",L174,MAX(L174,IF(M174="",L174,WORKDAY(M174,1))))</f>
        <v>46346</v>
      </c>
      <c r="O174" s="47" t="n">
        <f aca="false">WORKDAY(N174,K174-1)</f>
        <v>46351</v>
      </c>
      <c r="P174" s="45" t="n">
        <f aca="false">MAX(0,NETWORKDAYS(L174,N174)-1)</f>
        <v>0</v>
      </c>
      <c r="Q174" s="45" t="str">
        <f aca="false">IF(P174&gt;0,"BOTTLENECK DELAY","")</f>
        <v/>
      </c>
    </row>
    <row r="175" customFormat="false" ht="15" hidden="false" customHeight="false" outlineLevel="0" collapsed="false">
      <c r="A175" s="0" t="n">
        <v>174</v>
      </c>
      <c r="B175" s="0" t="s">
        <v>110</v>
      </c>
      <c r="C175" s="44" t="n">
        <f aca="false">INDEX(Projects!$B$2:$B$100,MATCH(B175,Projects!$A$2:$A$100,0))</f>
        <v>46176</v>
      </c>
      <c r="D175" s="0" t="n">
        <v>42</v>
      </c>
      <c r="E175" s="0" t="s">
        <v>49</v>
      </c>
      <c r="F175" s="0" t="s">
        <v>46</v>
      </c>
      <c r="H175" s="0" t="s">
        <v>33</v>
      </c>
      <c r="I175" s="45" t="str">
        <f aca="false">B175&amp;"|"&amp;E175</f>
        <v>IW13|Insulation Ceiling</v>
      </c>
      <c r="J175" s="45" t="str">
        <f aca="false">IF(H175="","",B175&amp;"|"&amp;H175)</f>
        <v>IW13|Electrical Finish</v>
      </c>
      <c r="K175" s="46" t="n">
        <v>2</v>
      </c>
      <c r="L175" s="47" t="n">
        <f aca="false">IF(H175="",C175,WORKDAY(INDEX($O$2:$O$2000,MATCH(J175,$I$2:$I$2000,0)),1))</f>
        <v>46352</v>
      </c>
      <c r="M175" s="47" t="str">
        <f aca="false">IF(G175="","",IFERROR(maxifs($O$2:O174,$G$2:G174,G175),""))</f>
        <v/>
      </c>
      <c r="N175" s="47" t="n">
        <f aca="false">IF(G175="",L175,MAX(L175,IF(M175="",L175,WORKDAY(M175,1))))</f>
        <v>46352</v>
      </c>
      <c r="O175" s="47" t="n">
        <f aca="false">WORKDAY(N175,K175-1)</f>
        <v>46353</v>
      </c>
      <c r="P175" s="45" t="n">
        <f aca="false">MAX(0,NETWORKDAYS(L175,N175)-1)</f>
        <v>0</v>
      </c>
      <c r="Q175" s="45" t="str">
        <f aca="false">IF(P175&gt;0,"BOTTLENECK DELAY","")</f>
        <v/>
      </c>
    </row>
    <row r="176" customFormat="false" ht="15" hidden="false" customHeight="false" outlineLevel="0" collapsed="false">
      <c r="A176" s="0" t="n">
        <v>175</v>
      </c>
      <c r="B176" s="0" t="s">
        <v>110</v>
      </c>
      <c r="C176" s="44" t="n">
        <f aca="false">INDEX(Projects!$B$2:$B$100,MATCH(B176,Projects!$A$2:$A$100,0))</f>
        <v>46176</v>
      </c>
      <c r="D176" s="0" t="n">
        <v>43</v>
      </c>
      <c r="E176" s="0" t="s">
        <v>62</v>
      </c>
      <c r="F176" s="0" t="s">
        <v>59</v>
      </c>
      <c r="H176" s="0" t="s">
        <v>33</v>
      </c>
      <c r="I176" s="45" t="str">
        <f aca="false">B176&amp;"|"&amp;E176</f>
        <v>IW13|Painting Finish</v>
      </c>
      <c r="J176" s="45" t="str">
        <f aca="false">IF(H176="","",B176&amp;"|"&amp;H176)</f>
        <v>IW13|Electrical Finish</v>
      </c>
      <c r="K176" s="46" t="n">
        <v>5</v>
      </c>
      <c r="L176" s="47" t="n">
        <f aca="false">IF(H176="",C176,WORKDAY(INDEX($O$2:$O$2000,MATCH(J176,$I$2:$I$2000,0)),1))</f>
        <v>46352</v>
      </c>
      <c r="M176" s="47" t="str">
        <f aca="false">IF(G176="","",IFERROR(maxifs($O$2:O175,$G$2:G175,G176),""))</f>
        <v/>
      </c>
      <c r="N176" s="47" t="n">
        <f aca="false">IF(G176="",L176,MAX(L176,IF(M176="",L176,WORKDAY(M176,1))))</f>
        <v>46352</v>
      </c>
      <c r="O176" s="47" t="n">
        <f aca="false">WORKDAY(N176,K176-1)</f>
        <v>46358</v>
      </c>
      <c r="P176" s="45" t="n">
        <f aca="false">MAX(0,NETWORKDAYS(L176,N176)-1)</f>
        <v>0</v>
      </c>
      <c r="Q176" s="45" t="str">
        <f aca="false">IF(P176&gt;0,"BOTTLENECK DELAY","")</f>
        <v/>
      </c>
    </row>
    <row r="177" customFormat="false" ht="15" hidden="false" customHeight="false" outlineLevel="0" collapsed="false">
      <c r="A177" s="0" t="n">
        <v>176</v>
      </c>
      <c r="B177" s="0" t="s">
        <v>110</v>
      </c>
      <c r="C177" s="44" t="n">
        <f aca="false">INDEX(Projects!$B$2:$B$100,MATCH(B177,Projects!$A$2:$A$100,0))</f>
        <v>46176</v>
      </c>
      <c r="D177" s="0" t="n">
        <v>44</v>
      </c>
      <c r="E177" s="0" t="s">
        <v>79</v>
      </c>
      <c r="F177" s="0" t="s">
        <v>78</v>
      </c>
      <c r="H177" s="0" t="s">
        <v>62</v>
      </c>
      <c r="I177" s="45" t="str">
        <f aca="false">B177&amp;"|"&amp;E177</f>
        <v>IW13|Cleaning</v>
      </c>
      <c r="J177" s="45" t="str">
        <f aca="false">IF(H177="","",B177&amp;"|"&amp;H177)</f>
        <v>IW13|Painting Finish</v>
      </c>
      <c r="K177" s="46" t="n">
        <v>3</v>
      </c>
      <c r="L177" s="47" t="n">
        <f aca="false">IF(H177="",C177,WORKDAY(INDEX($O$2:$O$2000,MATCH(J177,$I$2:$I$2000,0)),1))</f>
        <v>46359</v>
      </c>
      <c r="M177" s="47" t="str">
        <f aca="false">IF(G177="","",IFERROR(maxifs($O$2:O176,$G$2:G176,G177),""))</f>
        <v/>
      </c>
      <c r="N177" s="47" t="n">
        <f aca="false">IF(G177="",L177,MAX(L177,IF(M177="",L177,WORKDAY(M177,1))))</f>
        <v>46359</v>
      </c>
      <c r="O177" s="47" t="n">
        <f aca="false">WORKDAY(N177,K177-1)</f>
        <v>46363</v>
      </c>
      <c r="P177" s="45" t="n">
        <f aca="false">MAX(0,NETWORKDAYS(L177,N177)-1)</f>
        <v>0</v>
      </c>
      <c r="Q177" s="45" t="str">
        <f aca="false">IF(P177&gt;0,"BOTTLENECK DELAY","")</f>
        <v/>
      </c>
    </row>
    <row r="178" customFormat="false" ht="15" hidden="false" customHeight="false" outlineLevel="0" collapsed="false">
      <c r="A178" s="0" t="n">
        <v>177</v>
      </c>
      <c r="B178" s="0" t="s">
        <v>113</v>
      </c>
      <c r="C178" s="44" t="n">
        <f aca="false">INDEX(Projects!$B$2:$B$100,MATCH(B178,Projects!$A$2:$A$100,0))</f>
        <v>46197</v>
      </c>
      <c r="D178" s="0" t="n">
        <v>1</v>
      </c>
      <c r="E178" s="0" t="s">
        <v>16</v>
      </c>
      <c r="F178" s="0" t="s">
        <v>120</v>
      </c>
      <c r="I178" s="45" t="str">
        <f aca="false">B178&amp;"|"&amp;E178</f>
        <v>IW14|Estimate</v>
      </c>
      <c r="J178" s="45" t="str">
        <f aca="false">IF(H178="","",B178&amp;"|"&amp;H178)</f>
        <v/>
      </c>
      <c r="K178" s="46" t="n">
        <v>10</v>
      </c>
      <c r="L178" s="47" t="n">
        <f aca="false">IF(H178="",C178,WORKDAY(INDEX($O$2:$O$2000,MATCH(J178,$I$2:$I$2000,0)),1))</f>
        <v>46197</v>
      </c>
      <c r="M178" s="47" t="str">
        <f aca="false">IF(G178="","",IFERROR(maxifs($O$2:O177,$G$2:G177,G178),""))</f>
        <v/>
      </c>
      <c r="N178" s="47" t="n">
        <f aca="false">IF(G178="",L178,MAX(L178,IF(M178="",L178,WORKDAY(M178,1))))</f>
        <v>46197</v>
      </c>
      <c r="O178" s="47" t="n">
        <f aca="false">WORKDAY(N178,K178-1)</f>
        <v>46210</v>
      </c>
      <c r="P178" s="45" t="n">
        <f aca="false">MAX(0,NETWORKDAYS(L178,N178)-1)</f>
        <v>0</v>
      </c>
      <c r="Q178" s="45" t="str">
        <f aca="false">IF(P178&gt;0,"BOTTLENECK DELAY","")</f>
        <v/>
      </c>
    </row>
    <row r="179" customFormat="false" ht="15" hidden="false" customHeight="false" outlineLevel="0" collapsed="false">
      <c r="A179" s="0" t="n">
        <v>178</v>
      </c>
      <c r="B179" s="0" t="s">
        <v>113</v>
      </c>
      <c r="C179" s="44" t="n">
        <f aca="false">INDEX(Projects!$B$2:$B$100,MATCH(B179,Projects!$A$2:$A$100,0))</f>
        <v>46197</v>
      </c>
      <c r="D179" s="0" t="n">
        <v>2</v>
      </c>
      <c r="E179" s="0" t="s">
        <v>17</v>
      </c>
      <c r="F179" s="0" t="s">
        <v>120</v>
      </c>
      <c r="H179" s="0" t="s">
        <v>16</v>
      </c>
      <c r="I179" s="45" t="str">
        <f aca="false">B179&amp;"|"&amp;E179</f>
        <v>IW14|Clearing</v>
      </c>
      <c r="J179" s="45" t="str">
        <f aca="false">IF(H179="","",B179&amp;"|"&amp;H179)</f>
        <v>IW14|Estimate</v>
      </c>
      <c r="K179" s="46" t="n">
        <v>3</v>
      </c>
      <c r="L179" s="47" t="n">
        <f aca="false">IF(H179="",C179,WORKDAY(INDEX($O$2:$O$2000,MATCH(J179,$I$2:$I$2000,0)),1))</f>
        <v>46211</v>
      </c>
      <c r="M179" s="47" t="str">
        <f aca="false">IF(G179="","",IFERROR(maxifs($O$2:O178,$G$2:G178,G179),""))</f>
        <v/>
      </c>
      <c r="N179" s="47" t="n">
        <f aca="false">IF(G179="",L179,MAX(L179,IF(M179="",L179,WORKDAY(M179,1))))</f>
        <v>46211</v>
      </c>
      <c r="O179" s="47" t="n">
        <f aca="false">WORKDAY(N179,K179-1)</f>
        <v>46213</v>
      </c>
      <c r="P179" s="45" t="n">
        <f aca="false">MAX(0,NETWORKDAYS(L179,N179)-1)</f>
        <v>0</v>
      </c>
      <c r="Q179" s="45" t="str">
        <f aca="false">IF(P179&gt;0,"BOTTLENECK DELAY","")</f>
        <v/>
      </c>
    </row>
    <row r="180" customFormat="false" ht="15" hidden="false" customHeight="false" outlineLevel="0" collapsed="false">
      <c r="A180" s="0" t="n">
        <v>179</v>
      </c>
      <c r="B180" s="0" t="s">
        <v>113</v>
      </c>
      <c r="C180" s="44" t="n">
        <f aca="false">INDEX(Projects!$B$2:$B$100,MATCH(B180,Projects!$A$2:$A$100,0))</f>
        <v>46197</v>
      </c>
      <c r="D180" s="0" t="n">
        <v>3</v>
      </c>
      <c r="E180" s="0" t="s">
        <v>18</v>
      </c>
      <c r="F180" s="0" t="s">
        <v>120</v>
      </c>
      <c r="H180" s="0" t="s">
        <v>17</v>
      </c>
      <c r="I180" s="45" t="str">
        <f aca="false">B180&amp;"|"&amp;E180</f>
        <v>IW14|Site Prep</v>
      </c>
      <c r="J180" s="45" t="str">
        <f aca="false">IF(H180="","",B180&amp;"|"&amp;H180)</f>
        <v>IW14|Clearing</v>
      </c>
      <c r="K180" s="46" t="n">
        <v>2</v>
      </c>
      <c r="L180" s="47" t="n">
        <f aca="false">IF(H180="",C180,WORKDAY(INDEX($O$2:$O$2000,MATCH(J180,$I$2:$I$2000,0)),1))</f>
        <v>46216</v>
      </c>
      <c r="M180" s="47" t="str">
        <f aca="false">IF(G180="","",IFERROR(maxifs($O$2:O179,$G$2:G179,G180),""))</f>
        <v/>
      </c>
      <c r="N180" s="47" t="n">
        <f aca="false">IF(G180="",L180,MAX(L180,IF(M180="",L180,WORKDAY(M180,1))))</f>
        <v>46216</v>
      </c>
      <c r="O180" s="47" t="n">
        <f aca="false">WORKDAY(N180,K180-1)</f>
        <v>46217</v>
      </c>
      <c r="P180" s="45" t="n">
        <f aca="false">MAX(0,NETWORKDAYS(L180,N180)-1)</f>
        <v>0</v>
      </c>
      <c r="Q180" s="45" t="str">
        <f aca="false">IF(P180&gt;0,"BOTTLENECK DELAY","")</f>
        <v/>
      </c>
    </row>
    <row r="181" customFormat="false" ht="15" hidden="false" customHeight="false" outlineLevel="0" collapsed="false">
      <c r="A181" s="0" t="n">
        <v>180</v>
      </c>
      <c r="B181" s="0" t="s">
        <v>113</v>
      </c>
      <c r="C181" s="44" t="n">
        <f aca="false">INDEX(Projects!$B$2:$B$100,MATCH(B181,Projects!$A$2:$A$100,0))</f>
        <v>46197</v>
      </c>
      <c r="D181" s="0" t="n">
        <v>4</v>
      </c>
      <c r="E181" s="0" t="s">
        <v>12</v>
      </c>
      <c r="F181" s="0" t="s">
        <v>121</v>
      </c>
      <c r="G181" s="0" t="s">
        <v>121</v>
      </c>
      <c r="H181" s="0" t="s">
        <v>18</v>
      </c>
      <c r="I181" s="45" t="str">
        <f aca="false">B181&amp;"|"&amp;E181</f>
        <v>IW14|Footer</v>
      </c>
      <c r="J181" s="45" t="str">
        <f aca="false">IF(H181="","",B181&amp;"|"&amp;H181)</f>
        <v>IW14|Site Prep</v>
      </c>
      <c r="K181" s="46" t="n">
        <v>4</v>
      </c>
      <c r="L181" s="47" t="n">
        <f aca="false">IF(H181="",C181,WORKDAY(INDEX($O$2:$O$2000,MATCH(J181,$I$2:$I$2000,0)),1))</f>
        <v>46218</v>
      </c>
      <c r="M181" s="47" t="str">
        <f aca="false">IF(G181="","",IFERROR(maxifs($O$2:O180,$G$2:G180,G181),""))</f>
        <v/>
      </c>
      <c r="N181" s="47" t="n">
        <f aca="false">IF(G181="",L181,MAX(L181,IF(M181="",L181,WORKDAY(M181,1))))</f>
        <v>46218</v>
      </c>
      <c r="O181" s="47" t="n">
        <f aca="false">WORKDAY(N181,K181-1)</f>
        <v>46223</v>
      </c>
      <c r="P181" s="45" t="n">
        <f aca="false">MAX(0,NETWORKDAYS(L181,N181)-1)</f>
        <v>0</v>
      </c>
      <c r="Q181" s="45" t="str">
        <f aca="false">IF(P181&gt;0,"BOTTLENECK DELAY","")</f>
        <v/>
      </c>
    </row>
    <row r="182" customFormat="false" ht="15" hidden="false" customHeight="false" outlineLevel="0" collapsed="false">
      <c r="A182" s="0" t="n">
        <v>181</v>
      </c>
      <c r="B182" s="0" t="s">
        <v>113</v>
      </c>
      <c r="C182" s="44" t="n">
        <f aca="false">INDEX(Projects!$B$2:$B$100,MATCH(B182,Projects!$A$2:$A$100,0))</f>
        <v>46197</v>
      </c>
      <c r="D182" s="0" t="n">
        <v>5</v>
      </c>
      <c r="E182" s="0" t="s">
        <v>22</v>
      </c>
      <c r="F182" s="0" t="s">
        <v>21</v>
      </c>
      <c r="H182" s="0" t="s">
        <v>12</v>
      </c>
      <c r="I182" s="45" t="str">
        <f aca="false">B182&amp;"|"&amp;E182</f>
        <v>IW14|Block</v>
      </c>
      <c r="J182" s="45" t="str">
        <f aca="false">IF(H182="","",B182&amp;"|"&amp;H182)</f>
        <v>IW14|Footer</v>
      </c>
      <c r="K182" s="46" t="n">
        <v>10</v>
      </c>
      <c r="L182" s="47" t="n">
        <f aca="false">IF(H182="",C182,WORKDAY(INDEX($O$2:$O$2000,MATCH(J182,$I$2:$I$2000,0)),1))</f>
        <v>46224</v>
      </c>
      <c r="M182" s="47" t="str">
        <f aca="false">IF(G182="","",IFERROR(maxifs($O$2:O181,$G$2:G181,G182),""))</f>
        <v/>
      </c>
      <c r="N182" s="47" t="n">
        <f aca="false">IF(G182="",L182,MAX(L182,IF(M182="",L182,WORKDAY(M182,1))))</f>
        <v>46224</v>
      </c>
      <c r="O182" s="47" t="n">
        <f aca="false">WORKDAY(N182,K182-1)</f>
        <v>46237</v>
      </c>
      <c r="P182" s="45" t="n">
        <f aca="false">MAX(0,NETWORKDAYS(L182,N182)-1)</f>
        <v>0</v>
      </c>
      <c r="Q182" s="45" t="str">
        <f aca="false">IF(P182&gt;0,"BOTTLENECK DELAY","")</f>
        <v/>
      </c>
    </row>
    <row r="183" customFormat="false" ht="15" hidden="false" customHeight="false" outlineLevel="0" collapsed="false">
      <c r="A183" s="0" t="n">
        <v>182</v>
      </c>
      <c r="B183" s="0" t="s">
        <v>113</v>
      </c>
      <c r="C183" s="44" t="n">
        <f aca="false">INDEX(Projects!$B$2:$B$100,MATCH(B183,Projects!$A$2:$A$100,0))</f>
        <v>46197</v>
      </c>
      <c r="D183" s="0" t="n">
        <v>6</v>
      </c>
      <c r="E183" s="0" t="s">
        <v>72</v>
      </c>
      <c r="F183" s="0" t="s">
        <v>69</v>
      </c>
      <c r="H183" s="0" t="s">
        <v>22</v>
      </c>
      <c r="I183" s="45" t="str">
        <f aca="false">B183&amp;"|"&amp;E183</f>
        <v>IW14|French Drain</v>
      </c>
      <c r="J183" s="45" t="str">
        <f aca="false">IF(H183="","",B183&amp;"|"&amp;H183)</f>
        <v>IW14|Block</v>
      </c>
      <c r="K183" s="46" t="n">
        <v>2</v>
      </c>
      <c r="L183" s="47" t="n">
        <f aca="false">IF(H183="",C183,WORKDAY(INDEX($O$2:$O$2000,MATCH(J183,$I$2:$I$2000,0)),1))</f>
        <v>46238</v>
      </c>
      <c r="M183" s="47" t="str">
        <f aca="false">IF(G183="","",IFERROR(maxifs($O$2:O182,$G$2:G182,G183),""))</f>
        <v/>
      </c>
      <c r="N183" s="47" t="n">
        <f aca="false">IF(G183="",L183,MAX(L183,IF(M183="",L183,WORKDAY(M183,1))))</f>
        <v>46238</v>
      </c>
      <c r="O183" s="47" t="n">
        <f aca="false">WORKDAY(N183,K183-1)</f>
        <v>46239</v>
      </c>
      <c r="P183" s="45" t="n">
        <f aca="false">MAX(0,NETWORKDAYS(L183,N183)-1)</f>
        <v>0</v>
      </c>
      <c r="Q183" s="45" t="str">
        <f aca="false">IF(P183&gt;0,"BOTTLENECK DELAY","")</f>
        <v/>
      </c>
    </row>
    <row r="184" customFormat="false" ht="15" hidden="false" customHeight="false" outlineLevel="0" collapsed="false">
      <c r="A184" s="0" t="n">
        <v>183</v>
      </c>
      <c r="B184" s="0" t="s">
        <v>113</v>
      </c>
      <c r="C184" s="44" t="n">
        <f aca="false">INDEX(Projects!$B$2:$B$100,MATCH(B184,Projects!$A$2:$A$100,0))</f>
        <v>46197</v>
      </c>
      <c r="D184" s="0" t="n">
        <v>7</v>
      </c>
      <c r="E184" s="0" t="s">
        <v>47</v>
      </c>
      <c r="F184" s="0" t="s">
        <v>46</v>
      </c>
      <c r="H184" s="0" t="s">
        <v>22</v>
      </c>
      <c r="I184" s="45" t="str">
        <f aca="false">B184&amp;"|"&amp;E184</f>
        <v>IW14|Insulation Block</v>
      </c>
      <c r="J184" s="45" t="str">
        <f aca="false">IF(H184="","",B184&amp;"|"&amp;H184)</f>
        <v>IW14|Block</v>
      </c>
      <c r="K184" s="46" t="n">
        <v>2</v>
      </c>
      <c r="L184" s="47" t="n">
        <f aca="false">IF(H184="",C184,WORKDAY(INDEX($O$2:$O$2000,MATCH(J184,$I$2:$I$2000,0)),1))</f>
        <v>46238</v>
      </c>
      <c r="M184" s="47" t="str">
        <f aca="false">IF(G184="","",IFERROR(maxifs($O$2:O183,$G$2:G183,G184),""))</f>
        <v/>
      </c>
      <c r="N184" s="47" t="n">
        <f aca="false">IF(G184="",L184,MAX(L184,IF(M184="",L184,WORKDAY(M184,1))))</f>
        <v>46238</v>
      </c>
      <c r="O184" s="47" t="n">
        <f aca="false">WORKDAY(N184,K184-1)</f>
        <v>46239</v>
      </c>
      <c r="P184" s="45" t="n">
        <f aca="false">MAX(0,NETWORKDAYS(L184,N184)-1)</f>
        <v>0</v>
      </c>
      <c r="Q184" s="45" t="str">
        <f aca="false">IF(P184&gt;0,"BOTTLENECK DELAY","")</f>
        <v/>
      </c>
    </row>
    <row r="185" customFormat="false" ht="15" hidden="false" customHeight="false" outlineLevel="0" collapsed="false">
      <c r="A185" s="0" t="n">
        <v>184</v>
      </c>
      <c r="B185" s="0" t="s">
        <v>113</v>
      </c>
      <c r="C185" s="44" t="n">
        <f aca="false">INDEX(Projects!$B$2:$B$100,MATCH(B185,Projects!$A$2:$A$100,0))</f>
        <v>46197</v>
      </c>
      <c r="D185" s="0" t="n">
        <v>8</v>
      </c>
      <c r="E185" s="0" t="s">
        <v>95</v>
      </c>
      <c r="H185" s="0" t="s">
        <v>47</v>
      </c>
      <c r="I185" s="45" t="str">
        <f aca="false">B185&amp;"|"&amp;E185</f>
        <v>IW14|Rock Work</v>
      </c>
      <c r="J185" s="45" t="str">
        <f aca="false">IF(H185="","",B185&amp;"|"&amp;H185)</f>
        <v>IW14|Insulation Block</v>
      </c>
      <c r="K185" s="46" t="n">
        <v>2</v>
      </c>
      <c r="L185" s="47" t="n">
        <f aca="false">IF(H185="",C185,WORKDAY(INDEX($O$2:$O$2000,MATCH(J185,$I$2:$I$2000,0)),1))</f>
        <v>46240</v>
      </c>
      <c r="M185" s="47" t="str">
        <f aca="false">IF(G185="","",IFERROR(maxifs($O$2:O184,$G$2:G184,G185),""))</f>
        <v/>
      </c>
      <c r="N185" s="47" t="n">
        <f aca="false">IF(G185="",L185,MAX(L185,IF(M185="",L185,WORKDAY(M185,1))))</f>
        <v>46240</v>
      </c>
      <c r="O185" s="47" t="n">
        <f aca="false">WORKDAY(N185,K185-1)</f>
        <v>46241</v>
      </c>
      <c r="P185" s="45" t="n">
        <f aca="false">MAX(0,NETWORKDAYS(L185,N185)-1)</f>
        <v>0</v>
      </c>
      <c r="Q185" s="45" t="str">
        <f aca="false">IF(P185&gt;0,"BOTTLENECK DELAY","")</f>
        <v/>
      </c>
    </row>
    <row r="186" customFormat="false" ht="15" hidden="false" customHeight="false" outlineLevel="0" collapsed="false">
      <c r="A186" s="0" t="n">
        <v>185</v>
      </c>
      <c r="B186" s="0" t="s">
        <v>113</v>
      </c>
      <c r="C186" s="44" t="n">
        <f aca="false">INDEX(Projects!$B$2:$B$100,MATCH(B186,Projects!$A$2:$A$100,0))</f>
        <v>46197</v>
      </c>
      <c r="D186" s="0" t="n">
        <v>9</v>
      </c>
      <c r="E186" s="0" t="s">
        <v>36</v>
      </c>
      <c r="F186" s="0" t="s">
        <v>35</v>
      </c>
      <c r="H186" s="0" t="s">
        <v>95</v>
      </c>
      <c r="I186" s="45" t="str">
        <f aca="false">B186&amp;"|"&amp;E186</f>
        <v>IW14|HVAC Pre</v>
      </c>
      <c r="J186" s="45" t="str">
        <f aca="false">IF(H186="","",B186&amp;"|"&amp;H186)</f>
        <v>IW14|Rock Work</v>
      </c>
      <c r="K186" s="46" t="n">
        <v>2</v>
      </c>
      <c r="L186" s="47" t="n">
        <f aca="false">IF(H186="",C186,WORKDAY(INDEX($O$2:$O$2000,MATCH(J186,$I$2:$I$2000,0)),1))</f>
        <v>46244</v>
      </c>
      <c r="M186" s="47" t="str">
        <f aca="false">IF(G186="","",IFERROR(maxifs($O$2:O185,$G$2:G185,G186),""))</f>
        <v/>
      </c>
      <c r="N186" s="47" t="n">
        <f aca="false">IF(G186="",L186,MAX(L186,IF(M186="",L186,WORKDAY(M186,1))))</f>
        <v>46244</v>
      </c>
      <c r="O186" s="47" t="n">
        <f aca="false">WORKDAY(N186,K186-1)</f>
        <v>46245</v>
      </c>
      <c r="P186" s="45" t="n">
        <f aca="false">MAX(0,NETWORKDAYS(L186,N186)-1)</f>
        <v>0</v>
      </c>
      <c r="Q186" s="45" t="str">
        <f aca="false">IF(P186&gt;0,"BOTTLENECK DELAY","")</f>
        <v/>
      </c>
    </row>
    <row r="187" customFormat="false" ht="15" hidden="false" customHeight="false" outlineLevel="0" collapsed="false">
      <c r="A187" s="0" t="n">
        <v>186</v>
      </c>
      <c r="B187" s="0" t="s">
        <v>113</v>
      </c>
      <c r="C187" s="44" t="n">
        <f aca="false">INDEX(Projects!$B$2:$B$100,MATCH(B187,Projects!$A$2:$A$100,0))</f>
        <v>46197</v>
      </c>
      <c r="D187" s="0" t="n">
        <v>10</v>
      </c>
      <c r="E187" s="0" t="s">
        <v>40</v>
      </c>
      <c r="F187" s="0" t="s">
        <v>39</v>
      </c>
      <c r="G187" s="0" t="s">
        <v>39</v>
      </c>
      <c r="H187" s="0" t="s">
        <v>95</v>
      </c>
      <c r="I187" s="45" t="str">
        <f aca="false">B187&amp;"|"&amp;E187</f>
        <v>IW14|Plumbing Pre</v>
      </c>
      <c r="J187" s="45" t="str">
        <f aca="false">IF(H187="","",B187&amp;"|"&amp;H187)</f>
        <v>IW14|Rock Work</v>
      </c>
      <c r="K187" s="46" t="n">
        <v>5</v>
      </c>
      <c r="L187" s="47" t="n">
        <f aca="false">IF(H187="",C187,WORKDAY(INDEX($O$2:$O$2000,MATCH(J187,$I$2:$I$2000,0)),1))</f>
        <v>46244</v>
      </c>
      <c r="M187" s="47" t="str">
        <f aca="false">IF(G187="","",IFERROR(maxifs($O$2:O186,$G$2:G186,G187),""))</f>
        <v/>
      </c>
      <c r="N187" s="47" t="n">
        <f aca="false">IF(G187="",L187,MAX(L187,IF(M187="",L187,WORKDAY(M187,1))))</f>
        <v>46244</v>
      </c>
      <c r="O187" s="47" t="n">
        <f aca="false">WORKDAY(N187,K187-1)</f>
        <v>46248</v>
      </c>
      <c r="P187" s="45" t="n">
        <f aca="false">MAX(0,NETWORKDAYS(L187,N187)-1)</f>
        <v>0</v>
      </c>
      <c r="Q187" s="45" t="str">
        <f aca="false">IF(P187&gt;0,"BOTTLENECK DELAY","")</f>
        <v/>
      </c>
    </row>
    <row r="188" customFormat="false" ht="15" hidden="false" customHeight="false" outlineLevel="0" collapsed="false">
      <c r="A188" s="0" t="n">
        <v>187</v>
      </c>
      <c r="B188" s="0" t="s">
        <v>113</v>
      </c>
      <c r="C188" s="44" t="n">
        <f aca="false">INDEX(Projects!$B$2:$B$100,MATCH(B188,Projects!$A$2:$A$100,0))</f>
        <v>46197</v>
      </c>
      <c r="D188" s="0" t="n">
        <v>11</v>
      </c>
      <c r="E188" s="0" t="s">
        <v>31</v>
      </c>
      <c r="F188" s="0" t="s">
        <v>30</v>
      </c>
      <c r="H188" s="0" t="s">
        <v>95</v>
      </c>
      <c r="I188" s="45" t="str">
        <f aca="false">B188&amp;"|"&amp;E188</f>
        <v>IW14|Electrical Pre</v>
      </c>
      <c r="J188" s="45" t="str">
        <f aca="false">IF(H188="","",B188&amp;"|"&amp;H188)</f>
        <v>IW14|Rock Work</v>
      </c>
      <c r="K188" s="46" t="n">
        <v>2</v>
      </c>
      <c r="L188" s="47" t="n">
        <f aca="false">IF(H188="",C188,WORKDAY(INDEX($O$2:$O$2000,MATCH(J188,$I$2:$I$2000,0)),1))</f>
        <v>46244</v>
      </c>
      <c r="M188" s="47" t="str">
        <f aca="false">IF(G188="","",IFERROR(maxifs($O$2:O187,$G$2:G187,G188),""))</f>
        <v/>
      </c>
      <c r="N188" s="47" t="n">
        <f aca="false">IF(G188="",L188,MAX(L188,IF(M188="",L188,WORKDAY(M188,1))))</f>
        <v>46244</v>
      </c>
      <c r="O188" s="47" t="n">
        <f aca="false">WORKDAY(N188,K188-1)</f>
        <v>46245</v>
      </c>
      <c r="P188" s="45" t="n">
        <f aca="false">MAX(0,NETWORKDAYS(L188,N188)-1)</f>
        <v>0</v>
      </c>
      <c r="Q188" s="45" t="str">
        <f aca="false">IF(P188&gt;0,"BOTTLENECK DELAY","")</f>
        <v/>
      </c>
    </row>
    <row r="189" customFormat="false" ht="15" hidden="false" customHeight="false" outlineLevel="0" collapsed="false">
      <c r="A189" s="0" t="n">
        <v>188</v>
      </c>
      <c r="B189" s="0" t="s">
        <v>113</v>
      </c>
      <c r="C189" s="44" t="n">
        <f aca="false">INDEX(Projects!$B$2:$B$100,MATCH(B189,Projects!$A$2:$A$100,0))</f>
        <v>46197</v>
      </c>
      <c r="D189" s="0" t="n">
        <v>12</v>
      </c>
      <c r="E189" s="0" t="s">
        <v>13</v>
      </c>
      <c r="F189" s="0" t="s">
        <v>121</v>
      </c>
      <c r="G189" s="0" t="s">
        <v>121</v>
      </c>
      <c r="H189" s="0" t="s">
        <v>40</v>
      </c>
      <c r="I189" s="45" t="str">
        <f aca="false">B189&amp;"|"&amp;E189</f>
        <v>IW14|Slab</v>
      </c>
      <c r="J189" s="45" t="str">
        <f aca="false">IF(H189="","",B189&amp;"|"&amp;H189)</f>
        <v>IW14|Plumbing Pre</v>
      </c>
      <c r="K189" s="46" t="n">
        <v>4</v>
      </c>
      <c r="L189" s="47" t="n">
        <f aca="false">IF(H189="",C189,WORKDAY(INDEX($O$2:$O$2000,MATCH(J189,$I$2:$I$2000,0)),1))</f>
        <v>46251</v>
      </c>
      <c r="M189" s="47" t="str">
        <f aca="false">IF(G189="","",IFERROR(maxifs($O$2:O188,$G$2:G188,G189),""))</f>
        <v/>
      </c>
      <c r="N189" s="47" t="n">
        <f aca="false">IF(G189="",L189,MAX(L189,IF(M189="",L189,WORKDAY(M189,1))))</f>
        <v>46251</v>
      </c>
      <c r="O189" s="47" t="n">
        <f aca="false">WORKDAY(N189,K189-1)</f>
        <v>46254</v>
      </c>
      <c r="P189" s="45" t="n">
        <f aca="false">MAX(0,NETWORKDAYS(L189,N189)-1)</f>
        <v>0</v>
      </c>
      <c r="Q189" s="45" t="str">
        <f aca="false">IF(P189&gt;0,"BOTTLENECK DELAY","")</f>
        <v/>
      </c>
    </row>
    <row r="190" customFormat="false" ht="15" hidden="false" customHeight="false" outlineLevel="0" collapsed="false">
      <c r="A190" s="0" t="n">
        <v>189</v>
      </c>
      <c r="B190" s="0" t="s">
        <v>113</v>
      </c>
      <c r="C190" s="44" t="n">
        <f aca="false">INDEX(Projects!$B$2:$B$100,MATCH(B190,Projects!$A$2:$A$100,0))</f>
        <v>46197</v>
      </c>
      <c r="D190" s="0" t="n">
        <v>13</v>
      </c>
      <c r="E190" s="0" t="s">
        <v>26</v>
      </c>
      <c r="F190" s="0" t="s">
        <v>122</v>
      </c>
      <c r="H190" s="0" t="s">
        <v>13</v>
      </c>
      <c r="I190" s="45" t="str">
        <f aca="false">B190&amp;"|"&amp;E190</f>
        <v>IW14|Framing</v>
      </c>
      <c r="J190" s="45" t="str">
        <f aca="false">IF(H190="","",B190&amp;"|"&amp;H190)</f>
        <v>IW14|Slab</v>
      </c>
      <c r="K190" s="46" t="n">
        <v>30</v>
      </c>
      <c r="L190" s="47" t="n">
        <f aca="false">IF(H190="",C190,WORKDAY(INDEX($O$2:$O$2000,MATCH(J190,$I$2:$I$2000,0)),1))</f>
        <v>46255</v>
      </c>
      <c r="M190" s="47" t="str">
        <f aca="false">IF(G190="","",IFERROR(maxifs($O$2:O189,$G$2:G189,G190),""))</f>
        <v/>
      </c>
      <c r="N190" s="47" t="n">
        <f aca="false">IF(G190="",L190,MAX(L190,IF(M190="",L190,WORKDAY(M190,1))))</f>
        <v>46255</v>
      </c>
      <c r="O190" s="47" t="n">
        <f aca="false">WORKDAY(N190,K190-1)</f>
        <v>46296</v>
      </c>
      <c r="P190" s="45" t="n">
        <f aca="false">MAX(0,NETWORKDAYS(L190,N190)-1)</f>
        <v>0</v>
      </c>
      <c r="Q190" s="45" t="str">
        <f aca="false">IF(P190&gt;0,"BOTTLENECK DELAY","")</f>
        <v/>
      </c>
    </row>
    <row r="191" customFormat="false" ht="15" hidden="false" customHeight="false" outlineLevel="0" collapsed="false">
      <c r="A191" s="0" t="n">
        <v>190</v>
      </c>
      <c r="B191" s="0" t="s">
        <v>113</v>
      </c>
      <c r="C191" s="44" t="n">
        <f aca="false">INDEX(Projects!$B$2:$B$100,MATCH(B191,Projects!$A$2:$A$100,0))</f>
        <v>46197</v>
      </c>
      <c r="D191" s="0" t="n">
        <v>14</v>
      </c>
      <c r="E191" s="0" t="s">
        <v>29</v>
      </c>
      <c r="F191" s="0" t="s">
        <v>28</v>
      </c>
      <c r="H191" s="0" t="s">
        <v>26</v>
      </c>
      <c r="I191" s="45" t="str">
        <f aca="false">B191&amp;"|"&amp;E191</f>
        <v>IW14|Roofing</v>
      </c>
      <c r="J191" s="45" t="str">
        <f aca="false">IF(H191="","",B191&amp;"|"&amp;H191)</f>
        <v>IW14|Framing</v>
      </c>
      <c r="K191" s="46" t="n">
        <v>4</v>
      </c>
      <c r="L191" s="47" t="n">
        <f aca="false">IF(H191="",C191,WORKDAY(INDEX($O$2:$O$2000,MATCH(J191,$I$2:$I$2000,0)),1))</f>
        <v>46297</v>
      </c>
      <c r="M191" s="47" t="str">
        <f aca="false">IF(G191="","",IFERROR(maxifs($O$2:O190,$G$2:G190,G191),""))</f>
        <v/>
      </c>
      <c r="N191" s="47" t="n">
        <f aca="false">IF(G191="",L191,MAX(L191,IF(M191="",L191,WORKDAY(M191,1))))</f>
        <v>46297</v>
      </c>
      <c r="O191" s="47" t="n">
        <f aca="false">WORKDAY(N191,K191-1)</f>
        <v>46302</v>
      </c>
      <c r="P191" s="45" t="n">
        <f aca="false">MAX(0,NETWORKDAYS(L191,N191)-1)</f>
        <v>0</v>
      </c>
      <c r="Q191" s="45" t="str">
        <f aca="false">IF(P191&gt;0,"BOTTLENECK DELAY","")</f>
        <v/>
      </c>
    </row>
    <row r="192" customFormat="false" ht="15" hidden="false" customHeight="false" outlineLevel="0" collapsed="false">
      <c r="A192" s="0" t="n">
        <v>191</v>
      </c>
      <c r="B192" s="0" t="s">
        <v>113</v>
      </c>
      <c r="C192" s="44" t="n">
        <f aca="false">INDEX(Projects!$B$2:$B$100,MATCH(B192,Projects!$A$2:$A$100,0))</f>
        <v>46197</v>
      </c>
      <c r="D192" s="0" t="n">
        <v>15</v>
      </c>
      <c r="E192" s="0" t="s">
        <v>23</v>
      </c>
      <c r="F192" s="0" t="s">
        <v>21</v>
      </c>
      <c r="H192" s="0" t="s">
        <v>29</v>
      </c>
      <c r="I192" s="45" t="str">
        <f aca="false">B192&amp;"|"&amp;E192</f>
        <v>IW14|Brick</v>
      </c>
      <c r="J192" s="45" t="str">
        <f aca="false">IF(H192="","",B192&amp;"|"&amp;H192)</f>
        <v>IW14|Roofing</v>
      </c>
      <c r="K192" s="46" t="n">
        <v>20</v>
      </c>
      <c r="L192" s="47" t="n">
        <f aca="false">IF(H192="",C192,WORKDAY(INDEX($O$2:$O$2000,MATCH(J192,$I$2:$I$2000,0)),1))</f>
        <v>46303</v>
      </c>
      <c r="M192" s="47" t="str">
        <f aca="false">IF(G192="","",IFERROR(maxifs($O$2:O191,$G$2:G191,G192),""))</f>
        <v/>
      </c>
      <c r="N192" s="47" t="n">
        <f aca="false">IF(G192="",L192,MAX(L192,IF(M192="",L192,WORKDAY(M192,1))))</f>
        <v>46303</v>
      </c>
      <c r="O192" s="47" t="n">
        <f aca="false">WORKDAY(N192,K192-1)</f>
        <v>46330</v>
      </c>
      <c r="P192" s="45" t="n">
        <f aca="false">MAX(0,NETWORKDAYS(L192,N192)-1)</f>
        <v>0</v>
      </c>
      <c r="Q192" s="45" t="str">
        <f aca="false">IF(P192&gt;0,"BOTTLENECK DELAY","")</f>
        <v/>
      </c>
    </row>
    <row r="193" customFormat="false" ht="15" hidden="false" customHeight="false" outlineLevel="0" collapsed="false">
      <c r="A193" s="0" t="n">
        <v>192</v>
      </c>
      <c r="B193" s="0" t="s">
        <v>113</v>
      </c>
      <c r="C193" s="44" t="n">
        <f aca="false">INDEX(Projects!$B$2:$B$100,MATCH(B193,Projects!$A$2:$A$100,0))</f>
        <v>46197</v>
      </c>
      <c r="D193" s="0" t="n">
        <v>16</v>
      </c>
      <c r="E193" s="0" t="s">
        <v>123</v>
      </c>
      <c r="F193" s="0" t="s">
        <v>21</v>
      </c>
      <c r="H193" s="0" t="s">
        <v>29</v>
      </c>
      <c r="I193" s="45" t="str">
        <f aca="false">B193&amp;"|"&amp;E193</f>
        <v>IW14|Stone</v>
      </c>
      <c r="J193" s="45" t="str">
        <f aca="false">IF(H193="","",B193&amp;"|"&amp;H193)</f>
        <v>IW14|Roofing</v>
      </c>
      <c r="K193" s="46" t="n">
        <v>20</v>
      </c>
      <c r="L193" s="47" t="n">
        <f aca="false">IF(H193="",C193,WORKDAY(INDEX($O$2:$O$2000,MATCH(J193,$I$2:$I$2000,0)),1))</f>
        <v>46303</v>
      </c>
      <c r="M193" s="47" t="str">
        <f aca="false">IF(G193="","",IFERROR(maxifs($O$2:O192,$G$2:G192,G193),""))</f>
        <v/>
      </c>
      <c r="N193" s="47" t="n">
        <f aca="false">IF(G193="",L193,MAX(L193,IF(M193="",L193,WORKDAY(M193,1))))</f>
        <v>46303</v>
      </c>
      <c r="O193" s="47" t="n">
        <f aca="false">WORKDAY(N193,K193-1)</f>
        <v>46330</v>
      </c>
      <c r="P193" s="45" t="n">
        <f aca="false">MAX(0,NETWORKDAYS(L193,N193)-1)</f>
        <v>0</v>
      </c>
      <c r="Q193" s="45" t="str">
        <f aca="false">IF(P193&gt;0,"BOTTLENECK DELAY","")</f>
        <v/>
      </c>
    </row>
    <row r="194" customFormat="false" ht="15" hidden="false" customHeight="false" outlineLevel="0" collapsed="false">
      <c r="A194" s="0" t="n">
        <v>193</v>
      </c>
      <c r="B194" s="0" t="s">
        <v>113</v>
      </c>
      <c r="C194" s="44" t="n">
        <f aca="false">INDEX(Projects!$B$2:$B$100,MATCH(B194,Projects!$A$2:$A$100,0))</f>
        <v>46197</v>
      </c>
      <c r="D194" s="0" t="n">
        <v>17</v>
      </c>
      <c r="E194" s="0" t="s">
        <v>27</v>
      </c>
      <c r="F194" s="0" t="s">
        <v>122</v>
      </c>
      <c r="H194" s="0" t="s">
        <v>29</v>
      </c>
      <c r="I194" s="45" t="str">
        <f aca="false">B194&amp;"|"&amp;E194</f>
        <v>IW14|Siding</v>
      </c>
      <c r="J194" s="45" t="str">
        <f aca="false">IF(H194="","",B194&amp;"|"&amp;H194)</f>
        <v>IW14|Roofing</v>
      </c>
      <c r="K194" s="46" t="n">
        <v>20</v>
      </c>
      <c r="L194" s="47" t="n">
        <f aca="false">IF(H194="",C194,WORKDAY(INDEX($O$2:$O$2000,MATCH(J194,$I$2:$I$2000,0)),1))</f>
        <v>46303</v>
      </c>
      <c r="M194" s="47" t="str">
        <f aca="false">IF(G194="","",IFERROR(maxifs($O$2:O193,$G$2:G193,G194),""))</f>
        <v/>
      </c>
      <c r="N194" s="47" t="n">
        <f aca="false">IF(G194="",L194,MAX(L194,IF(M194="",L194,WORKDAY(M194,1))))</f>
        <v>46303</v>
      </c>
      <c r="O194" s="47" t="n">
        <f aca="false">WORKDAY(N194,K194-1)</f>
        <v>46330</v>
      </c>
      <c r="P194" s="45" t="n">
        <f aca="false">MAX(0,NETWORKDAYS(L194,N194)-1)</f>
        <v>0</v>
      </c>
      <c r="Q194" s="45" t="str">
        <f aca="false">IF(P194&gt;0,"BOTTLENECK DELAY","")</f>
        <v/>
      </c>
    </row>
    <row r="195" customFormat="false" ht="15" hidden="false" customHeight="false" outlineLevel="0" collapsed="false">
      <c r="A195" s="0" t="n">
        <v>194</v>
      </c>
      <c r="B195" s="0" t="s">
        <v>113</v>
      </c>
      <c r="C195" s="44" t="n">
        <f aca="false">INDEX(Projects!$B$2:$B$100,MATCH(B195,Projects!$A$2:$A$100,0))</f>
        <v>46197</v>
      </c>
      <c r="D195" s="0" t="n">
        <v>18</v>
      </c>
      <c r="E195" s="0" t="s">
        <v>96</v>
      </c>
      <c r="H195" s="0" t="s">
        <v>23</v>
      </c>
      <c r="I195" s="45" t="str">
        <f aca="false">B195&amp;"|"&amp;E195</f>
        <v>IW14|Rough Grade</v>
      </c>
      <c r="J195" s="45" t="str">
        <f aca="false">IF(H195="","",B195&amp;"|"&amp;H195)</f>
        <v>IW14|Brick</v>
      </c>
      <c r="K195" s="46" t="n">
        <v>2</v>
      </c>
      <c r="L195" s="47" t="n">
        <f aca="false">IF(H195="",C195,WORKDAY(INDEX($O$2:$O$2000,MATCH(J195,$I$2:$I$2000,0)),1))</f>
        <v>46331</v>
      </c>
      <c r="M195" s="47" t="str">
        <f aca="false">IF(G195="","",IFERROR(maxifs($O$2:O194,$G$2:G194,G195),""))</f>
        <v/>
      </c>
      <c r="N195" s="47" t="n">
        <f aca="false">IF(G195="",L195,MAX(L195,IF(M195="",L195,WORKDAY(M195,1))))</f>
        <v>46331</v>
      </c>
      <c r="O195" s="47" t="n">
        <f aca="false">WORKDAY(N195,K195-1)</f>
        <v>46332</v>
      </c>
      <c r="P195" s="45" t="n">
        <f aca="false">MAX(0,NETWORKDAYS(L195,N195)-1)</f>
        <v>0</v>
      </c>
      <c r="Q195" s="45" t="str">
        <f aca="false">IF(P195&gt;0,"BOTTLENECK DELAY","")</f>
        <v/>
      </c>
    </row>
    <row r="196" customFormat="false" ht="15" hidden="false" customHeight="false" outlineLevel="0" collapsed="false">
      <c r="A196" s="0" t="n">
        <v>195</v>
      </c>
      <c r="B196" s="0" t="s">
        <v>113</v>
      </c>
      <c r="C196" s="44" t="n">
        <f aca="false">INDEX(Projects!$B$2:$B$100,MATCH(B196,Projects!$A$2:$A$100,0))</f>
        <v>46197</v>
      </c>
      <c r="D196" s="0" t="n">
        <v>19</v>
      </c>
      <c r="E196" s="0" t="s">
        <v>75</v>
      </c>
      <c r="F196" s="0" t="s">
        <v>124</v>
      </c>
      <c r="H196" s="0" t="s">
        <v>96</v>
      </c>
      <c r="I196" s="45" t="str">
        <f aca="false">B196&amp;"|"&amp;E196</f>
        <v>IW14|Irrigation</v>
      </c>
      <c r="J196" s="45" t="str">
        <f aca="false">IF(H196="","",B196&amp;"|"&amp;H196)</f>
        <v>IW14|Rough Grade</v>
      </c>
      <c r="K196" s="46" t="n">
        <v>2</v>
      </c>
      <c r="L196" s="47" t="n">
        <f aca="false">IF(H196="",C196,WORKDAY(INDEX($O$2:$O$2000,MATCH(J196,$I$2:$I$2000,0)),1))</f>
        <v>46335</v>
      </c>
      <c r="M196" s="47" t="str">
        <f aca="false">IF(G196="","",IFERROR(maxifs($O$2:O195,$G$2:G195,G196),""))</f>
        <v/>
      </c>
      <c r="N196" s="47" t="n">
        <f aca="false">IF(G196="",L196,MAX(L196,IF(M196="",L196,WORKDAY(M196,1))))</f>
        <v>46335</v>
      </c>
      <c r="O196" s="47" t="n">
        <f aca="false">WORKDAY(N196,K196-1)</f>
        <v>46336</v>
      </c>
      <c r="P196" s="45" t="n">
        <f aca="false">MAX(0,NETWORKDAYS(L196,N196)-1)</f>
        <v>0</v>
      </c>
      <c r="Q196" s="45" t="str">
        <f aca="false">IF(P196&gt;0,"BOTTLENECK DELAY","")</f>
        <v/>
      </c>
    </row>
    <row r="197" customFormat="false" ht="15" hidden="false" customHeight="false" outlineLevel="0" collapsed="false">
      <c r="A197" s="0" t="n">
        <v>196</v>
      </c>
      <c r="B197" s="0" t="s">
        <v>113</v>
      </c>
      <c r="C197" s="44" t="n">
        <f aca="false">INDEX(Projects!$B$2:$B$100,MATCH(B197,Projects!$A$2:$A$100,0))</f>
        <v>46197</v>
      </c>
      <c r="D197" s="0" t="n">
        <v>20</v>
      </c>
      <c r="E197" s="0" t="s">
        <v>71</v>
      </c>
      <c r="F197" s="0" t="s">
        <v>69</v>
      </c>
      <c r="H197" s="0" t="s">
        <v>75</v>
      </c>
      <c r="I197" s="45" t="str">
        <f aca="false">B197&amp;"|"&amp;E197</f>
        <v>IW14|Finish Grade</v>
      </c>
      <c r="J197" s="45" t="str">
        <f aca="false">IF(H197="","",B197&amp;"|"&amp;H197)</f>
        <v>IW14|Irrigation</v>
      </c>
      <c r="K197" s="46" t="n">
        <v>2</v>
      </c>
      <c r="L197" s="47" t="n">
        <f aca="false">IF(H197="",C197,WORKDAY(INDEX($O$2:$O$2000,MATCH(J197,$I$2:$I$2000,0)),1))</f>
        <v>46337</v>
      </c>
      <c r="M197" s="47" t="str">
        <f aca="false">IF(G197="","",IFERROR(maxifs($O$2:O196,$G$2:G196,G197),""))</f>
        <v/>
      </c>
      <c r="N197" s="47" t="n">
        <f aca="false">IF(G197="",L197,MAX(L197,IF(M197="",L197,WORKDAY(M197,1))))</f>
        <v>46337</v>
      </c>
      <c r="O197" s="47" t="n">
        <f aca="false">WORKDAY(N197,K197-1)</f>
        <v>46338</v>
      </c>
      <c r="P197" s="45" t="n">
        <f aca="false">MAX(0,NETWORKDAYS(L197,N197)-1)</f>
        <v>0</v>
      </c>
      <c r="Q197" s="45" t="str">
        <f aca="false">IF(P197&gt;0,"BOTTLENECK DELAY","")</f>
        <v/>
      </c>
    </row>
    <row r="198" customFormat="false" ht="15" hidden="false" customHeight="false" outlineLevel="0" collapsed="false">
      <c r="A198" s="0" t="n">
        <v>197</v>
      </c>
      <c r="B198" s="0" t="s">
        <v>113</v>
      </c>
      <c r="C198" s="44" t="n">
        <f aca="false">INDEX(Projects!$B$2:$B$100,MATCH(B198,Projects!$A$2:$A$100,0))</f>
        <v>46197</v>
      </c>
      <c r="D198" s="0" t="n">
        <v>21</v>
      </c>
      <c r="E198" s="0" t="s">
        <v>125</v>
      </c>
      <c r="F198" s="0" t="s">
        <v>69</v>
      </c>
      <c r="H198" s="0" t="s">
        <v>75</v>
      </c>
      <c r="I198" s="45" t="str">
        <f aca="false">B198&amp;"|"&amp;E198</f>
        <v>IW14|Landscaping</v>
      </c>
      <c r="J198" s="45" t="str">
        <f aca="false">IF(H198="","",B198&amp;"|"&amp;H198)</f>
        <v>IW14|Irrigation</v>
      </c>
      <c r="K198" s="46" t="n">
        <v>2</v>
      </c>
      <c r="L198" s="47" t="n">
        <f aca="false">IF(H198="",C198,WORKDAY(INDEX($O$2:$O$2000,MATCH(J198,$I$2:$I$2000,0)),1))</f>
        <v>46337</v>
      </c>
      <c r="M198" s="47" t="str">
        <f aca="false">IF(G198="","",IFERROR(maxifs($O$2:O197,$G$2:G197,G198),""))</f>
        <v/>
      </c>
      <c r="N198" s="47" t="n">
        <f aca="false">IF(G198="",L198,MAX(L198,IF(M198="",L198,WORKDAY(M198,1))))</f>
        <v>46337</v>
      </c>
      <c r="O198" s="47" t="n">
        <f aca="false">WORKDAY(N198,K198-1)</f>
        <v>46338</v>
      </c>
      <c r="P198" s="45" t="n">
        <f aca="false">MAX(0,NETWORKDAYS(L198,N198)-1)</f>
        <v>0</v>
      </c>
      <c r="Q198" s="45" t="str">
        <f aca="false">IF(P198&gt;0,"BOTTLENECK DELAY","")</f>
        <v/>
      </c>
    </row>
    <row r="199" customFormat="false" ht="15" hidden="false" customHeight="false" outlineLevel="0" collapsed="false">
      <c r="A199" s="0" t="n">
        <v>198</v>
      </c>
      <c r="B199" s="0" t="s">
        <v>113</v>
      </c>
      <c r="C199" s="44" t="n">
        <f aca="false">INDEX(Projects!$B$2:$B$100,MATCH(B199,Projects!$A$2:$A$100,0))</f>
        <v>46197</v>
      </c>
      <c r="D199" s="0" t="n">
        <v>22</v>
      </c>
      <c r="E199" s="0" t="s">
        <v>77</v>
      </c>
      <c r="F199" s="0" t="s">
        <v>76</v>
      </c>
      <c r="H199" s="0" t="s">
        <v>71</v>
      </c>
      <c r="I199" s="45" t="str">
        <f aca="false">B199&amp;"|"&amp;E199</f>
        <v>IW14|Lawn Seeding</v>
      </c>
      <c r="J199" s="45" t="str">
        <f aca="false">IF(H199="","",B199&amp;"|"&amp;H199)</f>
        <v>IW14|Finish Grade</v>
      </c>
      <c r="K199" s="46" t="n">
        <v>2</v>
      </c>
      <c r="L199" s="47" t="n">
        <f aca="false">IF(H199="",C199,WORKDAY(INDEX($O$2:$O$2000,MATCH(J199,$I$2:$I$2000,0)),1))</f>
        <v>46339</v>
      </c>
      <c r="M199" s="47" t="str">
        <f aca="false">IF(G199="","",IFERROR(maxifs($O$2:O198,$G$2:G198,G199),""))</f>
        <v/>
      </c>
      <c r="N199" s="47" t="n">
        <f aca="false">IF(G199="",L199,MAX(L199,IF(M199="",L199,WORKDAY(M199,1))))</f>
        <v>46339</v>
      </c>
      <c r="O199" s="47" t="n">
        <f aca="false">WORKDAY(N199,K199-1)</f>
        <v>46342</v>
      </c>
      <c r="P199" s="45" t="n">
        <f aca="false">MAX(0,NETWORKDAYS(L199,N199)-1)</f>
        <v>0</v>
      </c>
      <c r="Q199" s="45" t="str">
        <f aca="false">IF(P199&gt;0,"BOTTLENECK DELAY","")</f>
        <v/>
      </c>
    </row>
    <row r="200" customFormat="false" ht="15" hidden="false" customHeight="false" outlineLevel="0" collapsed="false">
      <c r="A200" s="0" t="n">
        <v>199</v>
      </c>
      <c r="B200" s="0" t="s">
        <v>113</v>
      </c>
      <c r="C200" s="44" t="n">
        <f aca="false">INDEX(Projects!$B$2:$B$100,MATCH(B200,Projects!$A$2:$A$100,0))</f>
        <v>46197</v>
      </c>
      <c r="D200" s="0" t="n">
        <v>23</v>
      </c>
      <c r="E200" s="0" t="s">
        <v>97</v>
      </c>
      <c r="H200" s="0" t="s">
        <v>96</v>
      </c>
      <c r="I200" s="45" t="str">
        <f aca="false">B200&amp;"|"&amp;E200</f>
        <v>IW14|Gutter drains</v>
      </c>
      <c r="J200" s="45" t="str">
        <f aca="false">IF(H200="","",B200&amp;"|"&amp;H200)</f>
        <v>IW14|Rough Grade</v>
      </c>
      <c r="K200" s="46" t="n">
        <v>2</v>
      </c>
      <c r="L200" s="47" t="n">
        <f aca="false">IF(H200="",C200,WORKDAY(INDEX($O$2:$O$2000,MATCH(J200,$I$2:$I$2000,0)),1))</f>
        <v>46335</v>
      </c>
      <c r="M200" s="47" t="str">
        <f aca="false">IF(G200="","",IFERROR(maxifs($O$2:O199,$G$2:G199,G200),""))</f>
        <v/>
      </c>
      <c r="N200" s="47" t="n">
        <f aca="false">IF(G200="",L200,MAX(L200,IF(M200="",L200,WORKDAY(M200,1))))</f>
        <v>46335</v>
      </c>
      <c r="O200" s="47" t="n">
        <f aca="false">WORKDAY(N200,K200-1)</f>
        <v>46336</v>
      </c>
      <c r="P200" s="45" t="n">
        <f aca="false">MAX(0,NETWORKDAYS(L200,N200)-1)</f>
        <v>0</v>
      </c>
      <c r="Q200" s="45" t="str">
        <f aca="false">IF(P200&gt;0,"BOTTLENECK DELAY","")</f>
        <v/>
      </c>
    </row>
    <row r="201" customFormat="false" ht="15" hidden="false" customHeight="false" outlineLevel="0" collapsed="false">
      <c r="A201" s="0" t="n">
        <v>200</v>
      </c>
      <c r="B201" s="0" t="s">
        <v>113</v>
      </c>
      <c r="C201" s="44" t="n">
        <f aca="false">INDEX(Projects!$B$2:$B$100,MATCH(B201,Projects!$A$2:$A$100,0))</f>
        <v>46197</v>
      </c>
      <c r="D201" s="0" t="n">
        <v>24</v>
      </c>
      <c r="E201" s="0" t="s">
        <v>37</v>
      </c>
      <c r="F201" s="0" t="s">
        <v>35</v>
      </c>
      <c r="H201" s="0" t="s">
        <v>26</v>
      </c>
      <c r="I201" s="45" t="str">
        <f aca="false">B201&amp;"|"&amp;E201</f>
        <v>IW14|HVAC Rough</v>
      </c>
      <c r="J201" s="45" t="str">
        <f aca="false">IF(H201="","",B201&amp;"|"&amp;H201)</f>
        <v>IW14|Framing</v>
      </c>
      <c r="K201" s="46" t="n">
        <v>5</v>
      </c>
      <c r="L201" s="47" t="n">
        <f aca="false">IF(H201="",C201,WORKDAY(INDEX($O$2:$O$2000,MATCH(J201,$I$2:$I$2000,0)),1))</f>
        <v>46297</v>
      </c>
      <c r="M201" s="47" t="str">
        <f aca="false">IF(G201="","",IFERROR(maxifs($O$2:O200,$G$2:G200,G201),""))</f>
        <v/>
      </c>
      <c r="N201" s="47" t="n">
        <f aca="false">IF(G201="",L201,MAX(L201,IF(M201="",L201,WORKDAY(M201,1))))</f>
        <v>46297</v>
      </c>
      <c r="O201" s="47" t="n">
        <f aca="false">WORKDAY(N201,K201-1)</f>
        <v>46303</v>
      </c>
      <c r="P201" s="45" t="n">
        <f aca="false">MAX(0,NETWORKDAYS(L201,N201)-1)</f>
        <v>0</v>
      </c>
      <c r="Q201" s="45" t="str">
        <f aca="false">IF(P201&gt;0,"BOTTLENECK DELAY","")</f>
        <v/>
      </c>
    </row>
    <row r="202" customFormat="false" ht="15" hidden="false" customHeight="false" outlineLevel="0" collapsed="false">
      <c r="A202" s="0" t="n">
        <v>201</v>
      </c>
      <c r="B202" s="0" t="s">
        <v>113</v>
      </c>
      <c r="C202" s="44" t="n">
        <f aca="false">INDEX(Projects!$B$2:$B$100,MATCH(B202,Projects!$A$2:$A$100,0))</f>
        <v>46197</v>
      </c>
      <c r="D202" s="0" t="n">
        <v>25</v>
      </c>
      <c r="E202" s="0" t="s">
        <v>41</v>
      </c>
      <c r="F202" s="0" t="s">
        <v>39</v>
      </c>
      <c r="G202" s="0" t="s">
        <v>39</v>
      </c>
      <c r="H202" s="0" t="s">
        <v>26</v>
      </c>
      <c r="I202" s="45" t="str">
        <f aca="false">B202&amp;"|"&amp;E202</f>
        <v>IW14|Plumbing Rough</v>
      </c>
      <c r="J202" s="45" t="str">
        <f aca="false">IF(H202="","",B202&amp;"|"&amp;H202)</f>
        <v>IW14|Framing</v>
      </c>
      <c r="K202" s="46" t="n">
        <v>5</v>
      </c>
      <c r="L202" s="47" t="n">
        <f aca="false">IF(H202="",C202,WORKDAY(INDEX($O$2:$O$2000,MATCH(J202,$I$2:$I$2000,0)),1))</f>
        <v>46297</v>
      </c>
      <c r="M202" s="47" t="str">
        <f aca="false">IF(G202="","",IFERROR(maxifs($O$2:O201,$G$2:G201,G202),""))</f>
        <v/>
      </c>
      <c r="N202" s="47" t="n">
        <f aca="false">IF(G202="",L202,MAX(L202,IF(M202="",L202,WORKDAY(M202,1))))</f>
        <v>46297</v>
      </c>
      <c r="O202" s="47" t="n">
        <f aca="false">WORKDAY(N202,K202-1)</f>
        <v>46303</v>
      </c>
      <c r="P202" s="45" t="n">
        <f aca="false">MAX(0,NETWORKDAYS(L202,N202)-1)</f>
        <v>0</v>
      </c>
      <c r="Q202" s="45" t="str">
        <f aca="false">IF(P202&gt;0,"BOTTLENECK DELAY","")</f>
        <v/>
      </c>
    </row>
    <row r="203" customFormat="false" ht="15" hidden="false" customHeight="false" outlineLevel="0" collapsed="false">
      <c r="A203" s="0" t="n">
        <v>202</v>
      </c>
      <c r="B203" s="0" t="s">
        <v>113</v>
      </c>
      <c r="C203" s="44" t="n">
        <f aca="false">INDEX(Projects!$B$2:$B$100,MATCH(B203,Projects!$A$2:$A$100,0))</f>
        <v>46197</v>
      </c>
      <c r="D203" s="0" t="n">
        <v>26</v>
      </c>
      <c r="E203" s="0" t="s">
        <v>32</v>
      </c>
      <c r="F203" s="0" t="s">
        <v>30</v>
      </c>
      <c r="H203" s="0" t="s">
        <v>26</v>
      </c>
      <c r="I203" s="45" t="str">
        <f aca="false">B203&amp;"|"&amp;E203</f>
        <v>IW14|Electrical Rough</v>
      </c>
      <c r="J203" s="45" t="str">
        <f aca="false">IF(H203="","",B203&amp;"|"&amp;H203)</f>
        <v>IW14|Framing</v>
      </c>
      <c r="K203" s="46" t="n">
        <v>10</v>
      </c>
      <c r="L203" s="47" t="n">
        <f aca="false">IF(H203="",C203,WORKDAY(INDEX($O$2:$O$2000,MATCH(J203,$I$2:$I$2000,0)),1))</f>
        <v>46297</v>
      </c>
      <c r="M203" s="47" t="str">
        <f aca="false">IF(G203="","",IFERROR(maxifs($O$2:O202,$G$2:G202,G203),""))</f>
        <v/>
      </c>
      <c r="N203" s="47" t="n">
        <f aca="false">IF(G203="",L203,MAX(L203,IF(M203="",L203,WORKDAY(M203,1))))</f>
        <v>46297</v>
      </c>
      <c r="O203" s="47" t="n">
        <f aca="false">WORKDAY(N203,K203-1)</f>
        <v>46310</v>
      </c>
      <c r="P203" s="45" t="n">
        <f aca="false">MAX(0,NETWORKDAYS(L203,N203)-1)</f>
        <v>0</v>
      </c>
      <c r="Q203" s="45" t="str">
        <f aca="false">IF(P203&gt;0,"BOTTLENECK DELAY","")</f>
        <v/>
      </c>
    </row>
    <row r="204" customFormat="false" ht="15" hidden="false" customHeight="false" outlineLevel="0" collapsed="false">
      <c r="A204" s="0" t="n">
        <v>203</v>
      </c>
      <c r="B204" s="0" t="s">
        <v>113</v>
      </c>
      <c r="C204" s="44" t="n">
        <f aca="false">INDEX(Projects!$B$2:$B$100,MATCH(B204,Projects!$A$2:$A$100,0))</f>
        <v>46197</v>
      </c>
      <c r="D204" s="0" t="n">
        <v>27</v>
      </c>
      <c r="E204" s="0" t="s">
        <v>48</v>
      </c>
      <c r="F204" s="0" t="s">
        <v>46</v>
      </c>
      <c r="H204" s="0" t="s">
        <v>32</v>
      </c>
      <c r="I204" s="45" t="str">
        <f aca="false">B204&amp;"|"&amp;E204</f>
        <v>IW14|Insulation Walls</v>
      </c>
      <c r="J204" s="45" t="str">
        <f aca="false">IF(H204="","",B204&amp;"|"&amp;H204)</f>
        <v>IW14|Electrical Rough</v>
      </c>
      <c r="K204" s="46" t="n">
        <v>2</v>
      </c>
      <c r="L204" s="47" t="n">
        <f aca="false">IF(H204="",C204,WORKDAY(INDEX($O$2:$O$2000,MATCH(J204,$I$2:$I$2000,0)),1))</f>
        <v>46311</v>
      </c>
      <c r="M204" s="47" t="str">
        <f aca="false">IF(G204="","",IFERROR(maxifs($O$2:O203,$G$2:G203,G204),""))</f>
        <v/>
      </c>
      <c r="N204" s="47" t="n">
        <f aca="false">IF(G204="",L204,MAX(L204,IF(M204="",L204,WORKDAY(M204,1))))</f>
        <v>46311</v>
      </c>
      <c r="O204" s="47" t="n">
        <f aca="false">WORKDAY(N204,K204-1)</f>
        <v>46314</v>
      </c>
      <c r="P204" s="45" t="n">
        <f aca="false">MAX(0,NETWORKDAYS(L204,N204)-1)</f>
        <v>0</v>
      </c>
      <c r="Q204" s="45" t="str">
        <f aca="false">IF(P204&gt;0,"BOTTLENECK DELAY","")</f>
        <v/>
      </c>
    </row>
    <row r="205" customFormat="false" ht="15" hidden="false" customHeight="false" outlineLevel="0" collapsed="false">
      <c r="A205" s="0" t="n">
        <v>204</v>
      </c>
      <c r="B205" s="0" t="s">
        <v>113</v>
      </c>
      <c r="C205" s="44" t="n">
        <f aca="false">INDEX(Projects!$B$2:$B$100,MATCH(B205,Projects!$A$2:$A$100,0))</f>
        <v>46197</v>
      </c>
      <c r="D205" s="0" t="n">
        <v>28</v>
      </c>
      <c r="E205" s="0" t="s">
        <v>51</v>
      </c>
      <c r="F205" s="0" t="s">
        <v>50</v>
      </c>
      <c r="H205" s="0" t="s">
        <v>48</v>
      </c>
      <c r="I205" s="45" t="str">
        <f aca="false">B205&amp;"|"&amp;E205</f>
        <v>IW14|Sheetrock</v>
      </c>
      <c r="J205" s="45" t="str">
        <f aca="false">IF(H205="","",B205&amp;"|"&amp;H205)</f>
        <v>IW14|Insulation Walls</v>
      </c>
      <c r="K205" s="46" t="n">
        <v>15</v>
      </c>
      <c r="L205" s="47" t="n">
        <f aca="false">IF(H205="",C205,WORKDAY(INDEX($O$2:$O$2000,MATCH(J205,$I$2:$I$2000,0)),1))</f>
        <v>46315</v>
      </c>
      <c r="M205" s="47" t="str">
        <f aca="false">IF(G205="","",IFERROR(maxifs($O$2:O204,$G$2:G204,G205),""))</f>
        <v/>
      </c>
      <c r="N205" s="47" t="n">
        <f aca="false">IF(G205="",L205,MAX(L205,IF(M205="",L205,WORKDAY(M205,1))))</f>
        <v>46315</v>
      </c>
      <c r="O205" s="47" t="n">
        <f aca="false">WORKDAY(N205,K205-1)</f>
        <v>46335</v>
      </c>
      <c r="P205" s="45" t="n">
        <f aca="false">MAX(0,NETWORKDAYS(L205,N205)-1)</f>
        <v>0</v>
      </c>
      <c r="Q205" s="45" t="str">
        <f aca="false">IF(P205&gt;0,"BOTTLENECK DELAY","")</f>
        <v/>
      </c>
    </row>
    <row r="206" customFormat="false" ht="15" hidden="false" customHeight="false" outlineLevel="0" collapsed="false">
      <c r="A206" s="0" t="n">
        <v>205</v>
      </c>
      <c r="B206" s="0" t="s">
        <v>113</v>
      </c>
      <c r="C206" s="44" t="n">
        <f aca="false">INDEX(Projects!$B$2:$B$100,MATCH(B206,Projects!$A$2:$A$100,0))</f>
        <v>46197</v>
      </c>
      <c r="D206" s="0" t="n">
        <v>29</v>
      </c>
      <c r="E206" s="0" t="s">
        <v>60</v>
      </c>
      <c r="F206" s="0" t="s">
        <v>59</v>
      </c>
      <c r="H206" s="0" t="s">
        <v>51</v>
      </c>
      <c r="I206" s="45" t="str">
        <f aca="false">B206&amp;"|"&amp;E206</f>
        <v>IW14|Painting Primer</v>
      </c>
      <c r="J206" s="45" t="str">
        <f aca="false">IF(H206="","",B206&amp;"|"&amp;H206)</f>
        <v>IW14|Sheetrock</v>
      </c>
      <c r="K206" s="46" t="n">
        <v>3</v>
      </c>
      <c r="L206" s="47" t="n">
        <f aca="false">IF(H206="",C206,WORKDAY(INDEX($O$2:$O$2000,MATCH(J206,$I$2:$I$2000,0)),1))</f>
        <v>46336</v>
      </c>
      <c r="M206" s="47" t="str">
        <f aca="false">IF(G206="","",IFERROR(maxifs($O$2:O205,$G$2:G205,G206),""))</f>
        <v/>
      </c>
      <c r="N206" s="47" t="n">
        <f aca="false">IF(G206="",L206,MAX(L206,IF(M206="",L206,WORKDAY(M206,1))))</f>
        <v>46336</v>
      </c>
      <c r="O206" s="47" t="n">
        <f aca="false">WORKDAY(N206,K206-1)</f>
        <v>46338</v>
      </c>
      <c r="P206" s="45" t="n">
        <f aca="false">MAX(0,NETWORKDAYS(L206,N206)-1)</f>
        <v>0</v>
      </c>
      <c r="Q206" s="45" t="str">
        <f aca="false">IF(P206&gt;0,"BOTTLENECK DELAY","")</f>
        <v/>
      </c>
    </row>
    <row r="207" customFormat="false" ht="15" hidden="false" customHeight="false" outlineLevel="0" collapsed="false">
      <c r="A207" s="0" t="n">
        <v>206</v>
      </c>
      <c r="B207" s="0" t="s">
        <v>113</v>
      </c>
      <c r="C207" s="44" t="n">
        <f aca="false">INDEX(Projects!$B$2:$B$100,MATCH(B207,Projects!$A$2:$A$100,0))</f>
        <v>46197</v>
      </c>
      <c r="D207" s="0" t="n">
        <v>30</v>
      </c>
      <c r="E207" s="0" t="s">
        <v>53</v>
      </c>
      <c r="F207" s="0" t="s">
        <v>52</v>
      </c>
      <c r="H207" s="0" t="s">
        <v>60</v>
      </c>
      <c r="I207" s="45" t="str">
        <f aca="false">B207&amp;"|"&amp;E207</f>
        <v>IW14|Garage Doors</v>
      </c>
      <c r="J207" s="45" t="str">
        <f aca="false">IF(H207="","",B207&amp;"|"&amp;H207)</f>
        <v>IW14|Painting Primer</v>
      </c>
      <c r="K207" s="46" t="n">
        <v>2</v>
      </c>
      <c r="L207" s="47" t="n">
        <f aca="false">IF(H207="",C207,WORKDAY(INDEX($O$2:$O$2000,MATCH(J207,$I$2:$I$2000,0)),1))</f>
        <v>46339</v>
      </c>
      <c r="M207" s="47" t="str">
        <f aca="false">IF(G207="","",IFERROR(maxifs($O$2:O206,$G$2:G206,G207),""))</f>
        <v/>
      </c>
      <c r="N207" s="47" t="n">
        <f aca="false">IF(G207="",L207,MAX(L207,IF(M207="",L207,WORKDAY(M207,1))))</f>
        <v>46339</v>
      </c>
      <c r="O207" s="47" t="n">
        <f aca="false">WORKDAY(N207,K207-1)</f>
        <v>46342</v>
      </c>
      <c r="P207" s="45" t="n">
        <f aca="false">MAX(0,NETWORKDAYS(L207,N207)-1)</f>
        <v>0</v>
      </c>
      <c r="Q207" s="45" t="str">
        <f aca="false">IF(P207&gt;0,"BOTTLENECK DELAY","")</f>
        <v/>
      </c>
    </row>
    <row r="208" customFormat="false" ht="15" hidden="false" customHeight="false" outlineLevel="0" collapsed="false">
      <c r="A208" s="0" t="n">
        <v>207</v>
      </c>
      <c r="B208" s="0" t="s">
        <v>113</v>
      </c>
      <c r="C208" s="44" t="n">
        <f aca="false">INDEX(Projects!$B$2:$B$100,MATCH(B208,Projects!$A$2:$A$100,0))</f>
        <v>46197</v>
      </c>
      <c r="D208" s="0" t="n">
        <v>31</v>
      </c>
      <c r="E208" s="0" t="s">
        <v>44</v>
      </c>
      <c r="F208" s="0" t="s">
        <v>43</v>
      </c>
      <c r="H208" s="0" t="s">
        <v>60</v>
      </c>
      <c r="I208" s="45" t="str">
        <f aca="false">B208&amp;"|"&amp;E208</f>
        <v>IW14|Flooring</v>
      </c>
      <c r="J208" s="45" t="str">
        <f aca="false">IF(H208="","",B208&amp;"|"&amp;H208)</f>
        <v>IW14|Painting Primer</v>
      </c>
      <c r="K208" s="46" t="n">
        <v>5</v>
      </c>
      <c r="L208" s="47" t="n">
        <f aca="false">IF(H208="",C208,WORKDAY(INDEX($O$2:$O$2000,MATCH(J208,$I$2:$I$2000,0)),1))</f>
        <v>46339</v>
      </c>
      <c r="M208" s="47" t="str">
        <f aca="false">IF(G208="","",IFERROR(maxifs($O$2:O207,$G$2:G207,G208),""))</f>
        <v/>
      </c>
      <c r="N208" s="47" t="n">
        <f aca="false">IF(G208="",L208,MAX(L208,IF(M208="",L208,WORKDAY(M208,1))))</f>
        <v>46339</v>
      </c>
      <c r="O208" s="47" t="n">
        <f aca="false">WORKDAY(N208,K208-1)</f>
        <v>46345</v>
      </c>
      <c r="P208" s="45" t="n">
        <f aca="false">MAX(0,NETWORKDAYS(L208,N208)-1)</f>
        <v>0</v>
      </c>
      <c r="Q208" s="45" t="str">
        <f aca="false">IF(P208&gt;0,"BOTTLENECK DELAY","")</f>
        <v/>
      </c>
    </row>
    <row r="209" customFormat="false" ht="15" hidden="false" customHeight="false" outlineLevel="0" collapsed="false">
      <c r="A209" s="0" t="n">
        <v>208</v>
      </c>
      <c r="B209" s="0" t="s">
        <v>113</v>
      </c>
      <c r="C209" s="44" t="n">
        <f aca="false">INDEX(Projects!$B$2:$B$100,MATCH(B209,Projects!$A$2:$A$100,0))</f>
        <v>46197</v>
      </c>
      <c r="D209" s="0" t="n">
        <v>32</v>
      </c>
      <c r="E209" s="0" t="s">
        <v>45</v>
      </c>
      <c r="F209" s="0" t="s">
        <v>43</v>
      </c>
      <c r="H209" s="0" t="s">
        <v>60</v>
      </c>
      <c r="I209" s="45" t="str">
        <f aca="false">B209&amp;"|"&amp;E209</f>
        <v>IW14|Tile Work</v>
      </c>
      <c r="J209" s="45" t="str">
        <f aca="false">IF(H209="","",B209&amp;"|"&amp;H209)</f>
        <v>IW14|Painting Primer</v>
      </c>
      <c r="K209" s="46" t="n">
        <v>8</v>
      </c>
      <c r="L209" s="47" t="n">
        <f aca="false">IF(H209="",C209,WORKDAY(INDEX($O$2:$O$2000,MATCH(J209,$I$2:$I$2000,0)),1))</f>
        <v>46339</v>
      </c>
      <c r="M209" s="47" t="str">
        <f aca="false">IF(G209="","",IFERROR(maxifs($O$2:O208,$G$2:G208,G209),""))</f>
        <v/>
      </c>
      <c r="N209" s="47" t="n">
        <f aca="false">IF(G209="",L209,MAX(L209,IF(M209="",L209,WORKDAY(M209,1))))</f>
        <v>46339</v>
      </c>
      <c r="O209" s="47" t="n">
        <f aca="false">WORKDAY(N209,K209-1)</f>
        <v>46350</v>
      </c>
      <c r="P209" s="45" t="n">
        <f aca="false">MAX(0,NETWORKDAYS(L209,N209)-1)</f>
        <v>0</v>
      </c>
      <c r="Q209" s="45" t="str">
        <f aca="false">IF(P209&gt;0,"BOTTLENECK DELAY","")</f>
        <v/>
      </c>
    </row>
    <row r="210" customFormat="false" ht="15" hidden="false" customHeight="false" outlineLevel="0" collapsed="false">
      <c r="A210" s="0" t="n">
        <v>209</v>
      </c>
      <c r="B210" s="0" t="s">
        <v>113</v>
      </c>
      <c r="C210" s="44" t="n">
        <f aca="false">INDEX(Projects!$B$2:$B$100,MATCH(B210,Projects!$A$2:$A$100,0))</f>
        <v>46197</v>
      </c>
      <c r="D210" s="0" t="n">
        <v>33</v>
      </c>
      <c r="E210" s="0" t="s">
        <v>126</v>
      </c>
      <c r="F210" s="0" t="s">
        <v>56</v>
      </c>
      <c r="G210" s="0" t="s">
        <v>56</v>
      </c>
      <c r="H210" s="0" t="s">
        <v>44</v>
      </c>
      <c r="I210" s="45" t="str">
        <f aca="false">B210&amp;"|"&amp;E210</f>
        <v>IW14|Trim Interior</v>
      </c>
      <c r="J210" s="45" t="str">
        <f aca="false">IF(H210="","",B210&amp;"|"&amp;H210)</f>
        <v>IW14|Flooring</v>
      </c>
      <c r="K210" s="46" t="n">
        <v>20</v>
      </c>
      <c r="L210" s="47" t="n">
        <f aca="false">IF(H210="",C210,WORKDAY(INDEX($O$2:$O$2000,MATCH(J210,$I$2:$I$2000,0)),1))</f>
        <v>46346</v>
      </c>
      <c r="M210" s="47" t="str">
        <f aca="false">IF(G210="","",IFERROR(maxifs($O$2:O209,$G$2:G209,G210),""))</f>
        <v/>
      </c>
      <c r="N210" s="47" t="n">
        <f aca="false">IF(G210="",L210,MAX(L210,IF(M210="",L210,WORKDAY(M210,1))))</f>
        <v>46346</v>
      </c>
      <c r="O210" s="47" t="n">
        <f aca="false">WORKDAY(N210,K210-1)</f>
        <v>46373</v>
      </c>
      <c r="P210" s="45" t="n">
        <f aca="false">MAX(0,NETWORKDAYS(L210,N210)-1)</f>
        <v>0</v>
      </c>
      <c r="Q210" s="45" t="str">
        <f aca="false">IF(P210&gt;0,"BOTTLENECK DELAY","")</f>
        <v/>
      </c>
    </row>
    <row r="211" customFormat="false" ht="15" hidden="false" customHeight="false" outlineLevel="0" collapsed="false">
      <c r="A211" s="0" t="n">
        <v>210</v>
      </c>
      <c r="B211" s="0" t="s">
        <v>113</v>
      </c>
      <c r="C211" s="44" t="n">
        <f aca="false">INDEX(Projects!$B$2:$B$100,MATCH(B211,Projects!$A$2:$A$100,0))</f>
        <v>46197</v>
      </c>
      <c r="D211" s="0" t="n">
        <v>34</v>
      </c>
      <c r="E211" s="0" t="s">
        <v>58</v>
      </c>
      <c r="F211" s="0" t="s">
        <v>56</v>
      </c>
      <c r="G211" s="0" t="s">
        <v>56</v>
      </c>
      <c r="H211" s="0" t="s">
        <v>27</v>
      </c>
      <c r="I211" s="45" t="str">
        <f aca="false">B211&amp;"|"&amp;E211</f>
        <v>IW14|Trim Exterior</v>
      </c>
      <c r="J211" s="45" t="str">
        <f aca="false">IF(H211="","",B211&amp;"|"&amp;H211)</f>
        <v>IW14|Siding</v>
      </c>
      <c r="K211" s="46" t="n">
        <v>2</v>
      </c>
      <c r="L211" s="47" t="n">
        <f aca="false">IF(H211="",C211,WORKDAY(INDEX($O$2:$O$2000,MATCH(J211,$I$2:$I$2000,0)),1))</f>
        <v>46331</v>
      </c>
      <c r="M211" s="47" t="str">
        <f aca="false">IF(G211="","",IFERROR(maxifs($O$2:O210,$G$2:G210,G211),""))</f>
        <v/>
      </c>
      <c r="N211" s="47" t="n">
        <f aca="false">IF(G211="",L211,MAX(L211,IF(M211="",L211,WORKDAY(M211,1))))</f>
        <v>46331</v>
      </c>
      <c r="O211" s="47" t="n">
        <f aca="false">WORKDAY(N211,K211-1)</f>
        <v>46332</v>
      </c>
      <c r="P211" s="45" t="n">
        <f aca="false">MAX(0,NETWORKDAYS(L211,N211)-1)</f>
        <v>0</v>
      </c>
      <c r="Q211" s="45" t="str">
        <f aca="false">IF(P211&gt;0,"BOTTLENECK DELAY","")</f>
        <v/>
      </c>
    </row>
    <row r="212" customFormat="false" ht="15" hidden="false" customHeight="false" outlineLevel="0" collapsed="false">
      <c r="A212" s="0" t="n">
        <v>211</v>
      </c>
      <c r="B212" s="0" t="s">
        <v>113</v>
      </c>
      <c r="C212" s="44" t="n">
        <f aca="false">INDEX(Projects!$B$2:$B$100,MATCH(B212,Projects!$A$2:$A$100,0))</f>
        <v>46197</v>
      </c>
      <c r="D212" s="0" t="n">
        <v>35</v>
      </c>
      <c r="E212" s="0" t="s">
        <v>64</v>
      </c>
      <c r="F212" s="0" t="s">
        <v>63</v>
      </c>
      <c r="H212" s="0" t="s">
        <v>44</v>
      </c>
      <c r="I212" s="45" t="str">
        <f aca="false">B212&amp;"|"&amp;E212</f>
        <v>IW14|Cabinets</v>
      </c>
      <c r="J212" s="45" t="str">
        <f aca="false">IF(H212="","",B212&amp;"|"&amp;H212)</f>
        <v>IW14|Flooring</v>
      </c>
      <c r="K212" s="46" t="n">
        <v>3</v>
      </c>
      <c r="L212" s="47" t="n">
        <f aca="false">IF(H212="",C212,WORKDAY(INDEX($O$2:$O$2000,MATCH(J212,$I$2:$I$2000,0)),1))</f>
        <v>46346</v>
      </c>
      <c r="M212" s="47" t="str">
        <f aca="false">IF(G212="","",IFERROR(maxifs($O$2:O211,$G$2:G211,G212),""))</f>
        <v/>
      </c>
      <c r="N212" s="47" t="n">
        <f aca="false">IF(G212="",L212,MAX(L212,IF(M212="",L212,WORKDAY(M212,1))))</f>
        <v>46346</v>
      </c>
      <c r="O212" s="47" t="n">
        <f aca="false">WORKDAY(N212,K212-1)</f>
        <v>46350</v>
      </c>
      <c r="P212" s="45" t="n">
        <f aca="false">MAX(0,NETWORKDAYS(L212,N212)-1)</f>
        <v>0</v>
      </c>
      <c r="Q212" s="45" t="str">
        <f aca="false">IF(P212&gt;0,"BOTTLENECK DELAY","")</f>
        <v/>
      </c>
    </row>
    <row r="213" customFormat="false" ht="15" hidden="false" customHeight="false" outlineLevel="0" collapsed="false">
      <c r="A213" s="0" t="n">
        <v>212</v>
      </c>
      <c r="B213" s="0" t="s">
        <v>113</v>
      </c>
      <c r="C213" s="44" t="n">
        <f aca="false">INDEX(Projects!$B$2:$B$100,MATCH(B213,Projects!$A$2:$A$100,0))</f>
        <v>46197</v>
      </c>
      <c r="D213" s="0" t="n">
        <v>36</v>
      </c>
      <c r="E213" s="0" t="s">
        <v>66</v>
      </c>
      <c r="F213" s="0" t="s">
        <v>65</v>
      </c>
      <c r="H213" s="0" t="s">
        <v>64</v>
      </c>
      <c r="I213" s="45" t="str">
        <f aca="false">B213&amp;"|"&amp;E213</f>
        <v>IW14|Countertops</v>
      </c>
      <c r="J213" s="45" t="str">
        <f aca="false">IF(H213="","",B213&amp;"|"&amp;H213)</f>
        <v>IW14|Cabinets</v>
      </c>
      <c r="K213" s="46" t="n">
        <v>2</v>
      </c>
      <c r="L213" s="47" t="n">
        <f aca="false">IF(H213="",C213,WORKDAY(INDEX($O$2:$O$2000,MATCH(J213,$I$2:$I$2000,0)),1))</f>
        <v>46351</v>
      </c>
      <c r="M213" s="47" t="str">
        <f aca="false">IF(G213="","",IFERROR(maxifs($O$2:O212,$G$2:G212,G213),""))</f>
        <v/>
      </c>
      <c r="N213" s="47" t="n">
        <f aca="false">IF(G213="",L213,MAX(L213,IF(M213="",L213,WORKDAY(M213,1))))</f>
        <v>46351</v>
      </c>
      <c r="O213" s="47" t="n">
        <f aca="false">WORKDAY(N213,K213-1)</f>
        <v>46352</v>
      </c>
      <c r="P213" s="45" t="n">
        <f aca="false">MAX(0,NETWORKDAYS(L213,N213)-1)</f>
        <v>0</v>
      </c>
      <c r="Q213" s="45" t="str">
        <f aca="false">IF(P213&gt;0,"BOTTLENECK DELAY","")</f>
        <v/>
      </c>
    </row>
    <row r="214" customFormat="false" ht="15" hidden="false" customHeight="false" outlineLevel="0" collapsed="false">
      <c r="A214" s="0" t="n">
        <v>213</v>
      </c>
      <c r="B214" s="0" t="s">
        <v>113</v>
      </c>
      <c r="C214" s="44" t="n">
        <f aca="false">INDEX(Projects!$B$2:$B$100,MATCH(B214,Projects!$A$2:$A$100,0))</f>
        <v>46197</v>
      </c>
      <c r="D214" s="0" t="n">
        <v>37</v>
      </c>
      <c r="E214" s="0" t="s">
        <v>61</v>
      </c>
      <c r="F214" s="0" t="s">
        <v>59</v>
      </c>
      <c r="H214" s="0" t="s">
        <v>66</v>
      </c>
      <c r="I214" s="45" t="str">
        <f aca="false">B214&amp;"|"&amp;E214</f>
        <v>IW14|Painting Main</v>
      </c>
      <c r="J214" s="45" t="str">
        <f aca="false">IF(H214="","",B214&amp;"|"&amp;H214)</f>
        <v>IW14|Countertops</v>
      </c>
      <c r="K214" s="46" t="n">
        <v>10</v>
      </c>
      <c r="L214" s="47" t="n">
        <f aca="false">IF(H214="",C214,WORKDAY(INDEX($O$2:$O$2000,MATCH(J214,$I$2:$I$2000,0)),1))</f>
        <v>46353</v>
      </c>
      <c r="M214" s="47" t="str">
        <f aca="false">IF(G214="","",IFERROR(maxifs($O$2:O213,$G$2:G213,G214),""))</f>
        <v/>
      </c>
      <c r="N214" s="47" t="n">
        <f aca="false">IF(G214="",L214,MAX(L214,IF(M214="",L214,WORKDAY(M214,1))))</f>
        <v>46353</v>
      </c>
      <c r="O214" s="47" t="n">
        <f aca="false">WORKDAY(N214,K214-1)</f>
        <v>46366</v>
      </c>
      <c r="P214" s="45" t="n">
        <f aca="false">MAX(0,NETWORKDAYS(L214,N214)-1)</f>
        <v>0</v>
      </c>
      <c r="Q214" s="45" t="str">
        <f aca="false">IF(P214&gt;0,"BOTTLENECK DELAY","")</f>
        <v/>
      </c>
    </row>
    <row r="215" customFormat="false" ht="15" hidden="false" customHeight="false" outlineLevel="0" collapsed="false">
      <c r="A215" s="0" t="n">
        <v>214</v>
      </c>
      <c r="B215" s="0" t="s">
        <v>113</v>
      </c>
      <c r="C215" s="44" t="n">
        <f aca="false">INDEX(Projects!$B$2:$B$100,MATCH(B215,Projects!$A$2:$A$100,0))</f>
        <v>46197</v>
      </c>
      <c r="D215" s="0" t="n">
        <v>38</v>
      </c>
      <c r="E215" s="0" t="s">
        <v>34</v>
      </c>
      <c r="F215" s="0" t="s">
        <v>30</v>
      </c>
      <c r="H215" s="0" t="s">
        <v>66</v>
      </c>
      <c r="I215" s="45" t="str">
        <f aca="false">B215&amp;"|"&amp;E215</f>
        <v>IW14|Appliances</v>
      </c>
      <c r="J215" s="45" t="str">
        <f aca="false">IF(H215="","",B215&amp;"|"&amp;H215)</f>
        <v>IW14|Countertops</v>
      </c>
      <c r="K215" s="46" t="n">
        <v>2</v>
      </c>
      <c r="L215" s="47" t="n">
        <f aca="false">IF(H215="",C215,WORKDAY(INDEX($O$2:$O$2000,MATCH(J215,$I$2:$I$2000,0)),1))</f>
        <v>46353</v>
      </c>
      <c r="M215" s="47" t="str">
        <f aca="false">IF(G215="","",IFERROR(maxifs($O$2:O214,$G$2:G214,G215),""))</f>
        <v/>
      </c>
      <c r="N215" s="47" t="n">
        <f aca="false">IF(G215="",L215,MAX(L215,IF(M215="",L215,WORKDAY(M215,1))))</f>
        <v>46353</v>
      </c>
      <c r="O215" s="47" t="n">
        <f aca="false">WORKDAY(N215,K215-1)</f>
        <v>46356</v>
      </c>
      <c r="P215" s="45" t="n">
        <f aca="false">MAX(0,NETWORKDAYS(L215,N215)-1)</f>
        <v>0</v>
      </c>
      <c r="Q215" s="45" t="str">
        <f aca="false">IF(P215&gt;0,"BOTTLENECK DELAY","")</f>
        <v/>
      </c>
    </row>
    <row r="216" customFormat="false" ht="15" hidden="false" customHeight="false" outlineLevel="0" collapsed="false">
      <c r="A216" s="0" t="n">
        <v>215</v>
      </c>
      <c r="B216" s="0" t="s">
        <v>113</v>
      </c>
      <c r="C216" s="44" t="n">
        <f aca="false">INDEX(Projects!$B$2:$B$100,MATCH(B216,Projects!$A$2:$A$100,0))</f>
        <v>46197</v>
      </c>
      <c r="D216" s="0" t="n">
        <v>39</v>
      </c>
      <c r="E216" s="0" t="s">
        <v>38</v>
      </c>
      <c r="F216" s="0" t="s">
        <v>35</v>
      </c>
      <c r="H216" s="0" t="s">
        <v>61</v>
      </c>
      <c r="I216" s="45" t="str">
        <f aca="false">B216&amp;"|"&amp;E216</f>
        <v>IW14|HVAC Finish</v>
      </c>
      <c r="J216" s="45" t="str">
        <f aca="false">IF(H216="","",B216&amp;"|"&amp;H216)</f>
        <v>IW14|Painting Main</v>
      </c>
      <c r="K216" s="46" t="n">
        <v>2</v>
      </c>
      <c r="L216" s="47" t="n">
        <f aca="false">IF(H216="",C216,WORKDAY(INDEX($O$2:$O$2000,MATCH(J216,$I$2:$I$2000,0)),1))</f>
        <v>46367</v>
      </c>
      <c r="M216" s="47" t="str">
        <f aca="false">IF(G216="","",IFERROR(maxifs($O$2:O215,$G$2:G215,G216),""))</f>
        <v/>
      </c>
      <c r="N216" s="47" t="n">
        <f aca="false">IF(G216="",L216,MAX(L216,IF(M216="",L216,WORKDAY(M216,1))))</f>
        <v>46367</v>
      </c>
      <c r="O216" s="47" t="n">
        <f aca="false">WORKDAY(N216,K216-1)</f>
        <v>46370</v>
      </c>
      <c r="P216" s="45" t="n">
        <f aca="false">MAX(0,NETWORKDAYS(L216,N216)-1)</f>
        <v>0</v>
      </c>
      <c r="Q216" s="45" t="str">
        <f aca="false">IF(P216&gt;0,"BOTTLENECK DELAY","")</f>
        <v/>
      </c>
    </row>
    <row r="217" customFormat="false" ht="15" hidden="false" customHeight="false" outlineLevel="0" collapsed="false">
      <c r="A217" s="0" t="n">
        <v>216</v>
      </c>
      <c r="B217" s="0" t="s">
        <v>113</v>
      </c>
      <c r="C217" s="44" t="n">
        <f aca="false">INDEX(Projects!$B$2:$B$100,MATCH(B217,Projects!$A$2:$A$100,0))</f>
        <v>46197</v>
      </c>
      <c r="D217" s="0" t="n">
        <v>40</v>
      </c>
      <c r="E217" s="0" t="s">
        <v>42</v>
      </c>
      <c r="F217" s="0" t="s">
        <v>39</v>
      </c>
      <c r="G217" s="0" t="s">
        <v>39</v>
      </c>
      <c r="H217" s="0" t="s">
        <v>66</v>
      </c>
      <c r="I217" s="45" t="str">
        <f aca="false">B217&amp;"|"&amp;E217</f>
        <v>IW14|Plumbing Finish</v>
      </c>
      <c r="J217" s="45" t="str">
        <f aca="false">IF(H217="","",B217&amp;"|"&amp;H217)</f>
        <v>IW14|Countertops</v>
      </c>
      <c r="K217" s="46" t="n">
        <v>2</v>
      </c>
      <c r="L217" s="47" t="n">
        <f aca="false">IF(H217="",C217,WORKDAY(INDEX($O$2:$O$2000,MATCH(J217,$I$2:$I$2000,0)),1))</f>
        <v>46353</v>
      </c>
      <c r="M217" s="47" t="str">
        <f aca="false">IF(G217="","",IFERROR(maxifs($O$2:O216,$G$2:G216,G217),""))</f>
        <v/>
      </c>
      <c r="N217" s="47" t="n">
        <f aca="false">IF(G217="",L217,MAX(L217,IF(M217="",L217,WORKDAY(M217,1))))</f>
        <v>46353</v>
      </c>
      <c r="O217" s="47" t="n">
        <f aca="false">WORKDAY(N217,K217-1)</f>
        <v>46356</v>
      </c>
      <c r="P217" s="45" t="n">
        <f aca="false">MAX(0,NETWORKDAYS(L217,N217)-1)</f>
        <v>0</v>
      </c>
      <c r="Q217" s="45" t="str">
        <f aca="false">IF(P217&gt;0,"BOTTLENECK DELAY","")</f>
        <v/>
      </c>
    </row>
    <row r="218" customFormat="false" ht="15" hidden="false" customHeight="false" outlineLevel="0" collapsed="false">
      <c r="A218" s="0" t="n">
        <v>217</v>
      </c>
      <c r="B218" s="0" t="s">
        <v>113</v>
      </c>
      <c r="C218" s="44" t="n">
        <f aca="false">INDEX(Projects!$B$2:$B$100,MATCH(B218,Projects!$A$2:$A$100,0))</f>
        <v>46197</v>
      </c>
      <c r="D218" s="0" t="n">
        <v>41</v>
      </c>
      <c r="E218" s="0" t="s">
        <v>33</v>
      </c>
      <c r="F218" s="0" t="s">
        <v>30</v>
      </c>
      <c r="H218" s="0" t="s">
        <v>61</v>
      </c>
      <c r="I218" s="45" t="str">
        <f aca="false">B218&amp;"|"&amp;E218</f>
        <v>IW14|Electrical Finish</v>
      </c>
      <c r="J218" s="45" t="str">
        <f aca="false">IF(H218="","",B218&amp;"|"&amp;H218)</f>
        <v>IW14|Painting Main</v>
      </c>
      <c r="K218" s="46" t="n">
        <v>4</v>
      </c>
      <c r="L218" s="47" t="n">
        <f aca="false">IF(H218="",C218,WORKDAY(INDEX($O$2:$O$2000,MATCH(J218,$I$2:$I$2000,0)),1))</f>
        <v>46367</v>
      </c>
      <c r="M218" s="47" t="str">
        <f aca="false">IF(G218="","",IFERROR(maxifs($O$2:O217,$G$2:G217,G218),""))</f>
        <v/>
      </c>
      <c r="N218" s="47" t="n">
        <f aca="false">IF(G218="",L218,MAX(L218,IF(M218="",L218,WORKDAY(M218,1))))</f>
        <v>46367</v>
      </c>
      <c r="O218" s="47" t="n">
        <f aca="false">WORKDAY(N218,K218-1)</f>
        <v>46372</v>
      </c>
      <c r="P218" s="45" t="n">
        <f aca="false">MAX(0,NETWORKDAYS(L218,N218)-1)</f>
        <v>0</v>
      </c>
      <c r="Q218" s="45" t="str">
        <f aca="false">IF(P218&gt;0,"BOTTLENECK DELAY","")</f>
        <v/>
      </c>
    </row>
    <row r="219" customFormat="false" ht="15" hidden="false" customHeight="false" outlineLevel="0" collapsed="false">
      <c r="A219" s="0" t="n">
        <v>218</v>
      </c>
      <c r="B219" s="0" t="s">
        <v>113</v>
      </c>
      <c r="C219" s="44" t="n">
        <f aca="false">INDEX(Projects!$B$2:$B$100,MATCH(B219,Projects!$A$2:$A$100,0))</f>
        <v>46197</v>
      </c>
      <c r="D219" s="0" t="n">
        <v>42</v>
      </c>
      <c r="E219" s="0" t="s">
        <v>49</v>
      </c>
      <c r="F219" s="0" t="s">
        <v>46</v>
      </c>
      <c r="H219" s="0" t="s">
        <v>33</v>
      </c>
      <c r="I219" s="45" t="str">
        <f aca="false">B219&amp;"|"&amp;E219</f>
        <v>IW14|Insulation Ceiling</v>
      </c>
      <c r="J219" s="45" t="str">
        <f aca="false">IF(H219="","",B219&amp;"|"&amp;H219)</f>
        <v>IW14|Electrical Finish</v>
      </c>
      <c r="K219" s="46" t="n">
        <v>2</v>
      </c>
      <c r="L219" s="47" t="n">
        <f aca="false">IF(H219="",C219,WORKDAY(INDEX($O$2:$O$2000,MATCH(J219,$I$2:$I$2000,0)),1))</f>
        <v>46373</v>
      </c>
      <c r="M219" s="47" t="str">
        <f aca="false">IF(G219="","",IFERROR(maxifs($O$2:O218,$G$2:G218,G219),""))</f>
        <v/>
      </c>
      <c r="N219" s="47" t="n">
        <f aca="false">IF(G219="",L219,MAX(L219,IF(M219="",L219,WORKDAY(M219,1))))</f>
        <v>46373</v>
      </c>
      <c r="O219" s="47" t="n">
        <f aca="false">WORKDAY(N219,K219-1)</f>
        <v>46374</v>
      </c>
      <c r="P219" s="45" t="n">
        <f aca="false">MAX(0,NETWORKDAYS(L219,N219)-1)</f>
        <v>0</v>
      </c>
      <c r="Q219" s="45" t="str">
        <f aca="false">IF(P219&gt;0,"BOTTLENECK DELAY","")</f>
        <v/>
      </c>
    </row>
    <row r="220" customFormat="false" ht="15" hidden="false" customHeight="false" outlineLevel="0" collapsed="false">
      <c r="A220" s="0" t="n">
        <v>219</v>
      </c>
      <c r="B220" s="0" t="s">
        <v>113</v>
      </c>
      <c r="C220" s="44" t="n">
        <f aca="false">INDEX(Projects!$B$2:$B$100,MATCH(B220,Projects!$A$2:$A$100,0))</f>
        <v>46197</v>
      </c>
      <c r="D220" s="0" t="n">
        <v>43</v>
      </c>
      <c r="E220" s="0" t="s">
        <v>62</v>
      </c>
      <c r="F220" s="0" t="s">
        <v>59</v>
      </c>
      <c r="H220" s="0" t="s">
        <v>33</v>
      </c>
      <c r="I220" s="45" t="str">
        <f aca="false">B220&amp;"|"&amp;E220</f>
        <v>IW14|Painting Finish</v>
      </c>
      <c r="J220" s="45" t="str">
        <f aca="false">IF(H220="","",B220&amp;"|"&amp;H220)</f>
        <v>IW14|Electrical Finish</v>
      </c>
      <c r="K220" s="46" t="n">
        <v>5</v>
      </c>
      <c r="L220" s="47" t="n">
        <f aca="false">IF(H220="",C220,WORKDAY(INDEX($O$2:$O$2000,MATCH(J220,$I$2:$I$2000,0)),1))</f>
        <v>46373</v>
      </c>
      <c r="M220" s="47" t="str">
        <f aca="false">IF(G220="","",IFERROR(maxifs($O$2:O219,$G$2:G219,G220),""))</f>
        <v/>
      </c>
      <c r="N220" s="47" t="n">
        <f aca="false">IF(G220="",L220,MAX(L220,IF(M220="",L220,WORKDAY(M220,1))))</f>
        <v>46373</v>
      </c>
      <c r="O220" s="47" t="n">
        <f aca="false">WORKDAY(N220,K220-1)</f>
        <v>46379</v>
      </c>
      <c r="P220" s="45" t="n">
        <f aca="false">MAX(0,NETWORKDAYS(L220,N220)-1)</f>
        <v>0</v>
      </c>
      <c r="Q220" s="45" t="str">
        <f aca="false">IF(P220&gt;0,"BOTTLENECK DELAY","")</f>
        <v/>
      </c>
    </row>
    <row r="221" customFormat="false" ht="15" hidden="false" customHeight="false" outlineLevel="0" collapsed="false">
      <c r="A221" s="0" t="n">
        <v>220</v>
      </c>
      <c r="B221" s="0" t="s">
        <v>113</v>
      </c>
      <c r="C221" s="44" t="n">
        <f aca="false">INDEX(Projects!$B$2:$B$100,MATCH(B221,Projects!$A$2:$A$100,0))</f>
        <v>46197</v>
      </c>
      <c r="D221" s="0" t="n">
        <v>44</v>
      </c>
      <c r="E221" s="0" t="s">
        <v>79</v>
      </c>
      <c r="F221" s="0" t="s">
        <v>78</v>
      </c>
      <c r="H221" s="0" t="s">
        <v>62</v>
      </c>
      <c r="I221" s="45" t="str">
        <f aca="false">B221&amp;"|"&amp;E221</f>
        <v>IW14|Cleaning</v>
      </c>
      <c r="J221" s="45" t="str">
        <f aca="false">IF(H221="","",B221&amp;"|"&amp;H221)</f>
        <v>IW14|Painting Finish</v>
      </c>
      <c r="K221" s="46" t="n">
        <v>3</v>
      </c>
      <c r="L221" s="47" t="n">
        <f aca="false">IF(H221="",C221,WORKDAY(INDEX($O$2:$O$2000,MATCH(J221,$I$2:$I$2000,0)),1))</f>
        <v>46380</v>
      </c>
      <c r="M221" s="47" t="str">
        <f aca="false">IF(G221="","",IFERROR(maxifs($O$2:O220,$G$2:G220,G221),""))</f>
        <v/>
      </c>
      <c r="N221" s="47" t="n">
        <f aca="false">IF(G221="",L221,MAX(L221,IF(M221="",L221,WORKDAY(M221,1))))</f>
        <v>46380</v>
      </c>
      <c r="O221" s="47" t="n">
        <f aca="false">WORKDAY(N221,K221-1)</f>
        <v>46384</v>
      </c>
      <c r="P221" s="45" t="n">
        <f aca="false">MAX(0,NETWORKDAYS(L221,N221)-1)</f>
        <v>0</v>
      </c>
      <c r="Q221" s="45" t="str">
        <f aca="false">IF(P221&gt;0,"BOTTLENECK DELAY","")</f>
        <v/>
      </c>
    </row>
    <row r="222" customFormat="false" ht="15" hidden="false" customHeight="false" outlineLevel="0" collapsed="false">
      <c r="A222" s="0" t="n">
        <v>221</v>
      </c>
      <c r="B222" s="0" t="s">
        <v>114</v>
      </c>
      <c r="C222" s="44" t="n">
        <f aca="false">INDEX(Projects!$B$2:$B$100,MATCH(B222,Projects!$A$2:$A$100,0))</f>
        <v>46218</v>
      </c>
      <c r="D222" s="0" t="n">
        <v>1</v>
      </c>
      <c r="E222" s="0" t="s">
        <v>16</v>
      </c>
      <c r="F222" s="0" t="s">
        <v>120</v>
      </c>
      <c r="I222" s="45" t="str">
        <f aca="false">B222&amp;"|"&amp;E222</f>
        <v>IW15|Estimate</v>
      </c>
      <c r="J222" s="45" t="str">
        <f aca="false">IF(H222="","",B222&amp;"|"&amp;H222)</f>
        <v/>
      </c>
      <c r="K222" s="46" t="n">
        <v>10</v>
      </c>
      <c r="L222" s="47" t="n">
        <f aca="false">IF(H222="",C222,WORKDAY(INDEX($O$2:$O$2000,MATCH(J222,$I$2:$I$2000,0)),1))</f>
        <v>46218</v>
      </c>
      <c r="M222" s="47" t="str">
        <f aca="false">IF(G222="","",IFERROR(maxifs($O$2:O221,$G$2:G221,G222),""))</f>
        <v/>
      </c>
      <c r="N222" s="47" t="n">
        <f aca="false">IF(G222="",L222,MAX(L222,IF(M222="",L222,WORKDAY(M222,1))))</f>
        <v>46218</v>
      </c>
      <c r="O222" s="47" t="n">
        <f aca="false">WORKDAY(N222,K222-1)</f>
        <v>46231</v>
      </c>
      <c r="P222" s="45" t="n">
        <f aca="false">MAX(0,NETWORKDAYS(L222,N222)-1)</f>
        <v>0</v>
      </c>
      <c r="Q222" s="45" t="str">
        <f aca="false">IF(P222&gt;0,"BOTTLENECK DELAY","")</f>
        <v/>
      </c>
    </row>
    <row r="223" customFormat="false" ht="15" hidden="false" customHeight="false" outlineLevel="0" collapsed="false">
      <c r="A223" s="0" t="n">
        <v>222</v>
      </c>
      <c r="B223" s="0" t="s">
        <v>114</v>
      </c>
      <c r="C223" s="44" t="n">
        <f aca="false">INDEX(Projects!$B$2:$B$100,MATCH(B223,Projects!$A$2:$A$100,0))</f>
        <v>46218</v>
      </c>
      <c r="D223" s="0" t="n">
        <v>2</v>
      </c>
      <c r="E223" s="0" t="s">
        <v>17</v>
      </c>
      <c r="F223" s="0" t="s">
        <v>120</v>
      </c>
      <c r="H223" s="0" t="s">
        <v>16</v>
      </c>
      <c r="I223" s="45" t="str">
        <f aca="false">B223&amp;"|"&amp;E223</f>
        <v>IW15|Clearing</v>
      </c>
      <c r="J223" s="45" t="str">
        <f aca="false">IF(H223="","",B223&amp;"|"&amp;H223)</f>
        <v>IW15|Estimate</v>
      </c>
      <c r="K223" s="46" t="n">
        <v>3</v>
      </c>
      <c r="L223" s="47" t="n">
        <f aca="false">IF(H223="",C223,WORKDAY(INDEX($O$2:$O$2000,MATCH(J223,$I$2:$I$2000,0)),1))</f>
        <v>46232</v>
      </c>
      <c r="M223" s="47" t="str">
        <f aca="false">IF(G223="","",IFERROR(maxifs($O$2:O222,$G$2:G222,G223),""))</f>
        <v/>
      </c>
      <c r="N223" s="47" t="n">
        <f aca="false">IF(G223="",L223,MAX(L223,IF(M223="",L223,WORKDAY(M223,1))))</f>
        <v>46232</v>
      </c>
      <c r="O223" s="47" t="n">
        <f aca="false">WORKDAY(N223,K223-1)</f>
        <v>46234</v>
      </c>
      <c r="P223" s="45" t="n">
        <f aca="false">MAX(0,NETWORKDAYS(L223,N223)-1)</f>
        <v>0</v>
      </c>
      <c r="Q223" s="45" t="str">
        <f aca="false">IF(P223&gt;0,"BOTTLENECK DELAY","")</f>
        <v/>
      </c>
    </row>
    <row r="224" customFormat="false" ht="15" hidden="false" customHeight="false" outlineLevel="0" collapsed="false">
      <c r="A224" s="0" t="n">
        <v>223</v>
      </c>
      <c r="B224" s="0" t="s">
        <v>114</v>
      </c>
      <c r="C224" s="44" t="n">
        <f aca="false">INDEX(Projects!$B$2:$B$100,MATCH(B224,Projects!$A$2:$A$100,0))</f>
        <v>46218</v>
      </c>
      <c r="D224" s="0" t="n">
        <v>3</v>
      </c>
      <c r="E224" s="0" t="s">
        <v>18</v>
      </c>
      <c r="F224" s="0" t="s">
        <v>120</v>
      </c>
      <c r="H224" s="0" t="s">
        <v>17</v>
      </c>
      <c r="I224" s="45" t="str">
        <f aca="false">B224&amp;"|"&amp;E224</f>
        <v>IW15|Site Prep</v>
      </c>
      <c r="J224" s="45" t="str">
        <f aca="false">IF(H224="","",B224&amp;"|"&amp;H224)</f>
        <v>IW15|Clearing</v>
      </c>
      <c r="K224" s="46" t="n">
        <v>2</v>
      </c>
      <c r="L224" s="47" t="n">
        <f aca="false">IF(H224="",C224,WORKDAY(INDEX($O$2:$O$2000,MATCH(J224,$I$2:$I$2000,0)),1))</f>
        <v>46237</v>
      </c>
      <c r="M224" s="47" t="str">
        <f aca="false">IF(G224="","",IFERROR(maxifs($O$2:O223,$G$2:G223,G224),""))</f>
        <v/>
      </c>
      <c r="N224" s="47" t="n">
        <f aca="false">IF(G224="",L224,MAX(L224,IF(M224="",L224,WORKDAY(M224,1))))</f>
        <v>46237</v>
      </c>
      <c r="O224" s="47" t="n">
        <f aca="false">WORKDAY(N224,K224-1)</f>
        <v>46238</v>
      </c>
      <c r="P224" s="45" t="n">
        <f aca="false">MAX(0,NETWORKDAYS(L224,N224)-1)</f>
        <v>0</v>
      </c>
      <c r="Q224" s="45" t="str">
        <f aca="false">IF(P224&gt;0,"BOTTLENECK DELAY","")</f>
        <v/>
      </c>
    </row>
    <row r="225" customFormat="false" ht="15" hidden="false" customHeight="false" outlineLevel="0" collapsed="false">
      <c r="A225" s="0" t="n">
        <v>224</v>
      </c>
      <c r="B225" s="0" t="s">
        <v>114</v>
      </c>
      <c r="C225" s="44" t="n">
        <f aca="false">INDEX(Projects!$B$2:$B$100,MATCH(B225,Projects!$A$2:$A$100,0))</f>
        <v>46218</v>
      </c>
      <c r="D225" s="0" t="n">
        <v>4</v>
      </c>
      <c r="E225" s="0" t="s">
        <v>12</v>
      </c>
      <c r="F225" s="0" t="s">
        <v>121</v>
      </c>
      <c r="G225" s="0" t="s">
        <v>121</v>
      </c>
      <c r="H225" s="0" t="s">
        <v>18</v>
      </c>
      <c r="I225" s="45" t="str">
        <f aca="false">B225&amp;"|"&amp;E225</f>
        <v>IW15|Footer</v>
      </c>
      <c r="J225" s="45" t="str">
        <f aca="false">IF(H225="","",B225&amp;"|"&amp;H225)</f>
        <v>IW15|Site Prep</v>
      </c>
      <c r="K225" s="46" t="n">
        <v>4</v>
      </c>
      <c r="L225" s="47" t="n">
        <f aca="false">IF(H225="",C225,WORKDAY(INDEX($O$2:$O$2000,MATCH(J225,$I$2:$I$2000,0)),1))</f>
        <v>46239</v>
      </c>
      <c r="M225" s="47" t="str">
        <f aca="false">IF(G225="","",IFERROR(maxifs($O$2:O224,$G$2:G224,G225),""))</f>
        <v/>
      </c>
      <c r="N225" s="47" t="n">
        <f aca="false">IF(G225="",L225,MAX(L225,IF(M225="",L225,WORKDAY(M225,1))))</f>
        <v>46239</v>
      </c>
      <c r="O225" s="47" t="n">
        <f aca="false">WORKDAY(N225,K225-1)</f>
        <v>46244</v>
      </c>
      <c r="P225" s="45" t="n">
        <f aca="false">MAX(0,NETWORKDAYS(L225,N225)-1)</f>
        <v>0</v>
      </c>
      <c r="Q225" s="45" t="str">
        <f aca="false">IF(P225&gt;0,"BOTTLENECK DELAY","")</f>
        <v/>
      </c>
    </row>
    <row r="226" customFormat="false" ht="15" hidden="false" customHeight="false" outlineLevel="0" collapsed="false">
      <c r="A226" s="0" t="n">
        <v>225</v>
      </c>
      <c r="B226" s="0" t="s">
        <v>114</v>
      </c>
      <c r="C226" s="44" t="n">
        <f aca="false">INDEX(Projects!$B$2:$B$100,MATCH(B226,Projects!$A$2:$A$100,0))</f>
        <v>46218</v>
      </c>
      <c r="D226" s="0" t="n">
        <v>5</v>
      </c>
      <c r="E226" s="0" t="s">
        <v>22</v>
      </c>
      <c r="F226" s="0" t="s">
        <v>21</v>
      </c>
      <c r="H226" s="0" t="s">
        <v>12</v>
      </c>
      <c r="I226" s="45" t="str">
        <f aca="false">B226&amp;"|"&amp;E226</f>
        <v>IW15|Block</v>
      </c>
      <c r="J226" s="45" t="str">
        <f aca="false">IF(H226="","",B226&amp;"|"&amp;H226)</f>
        <v>IW15|Footer</v>
      </c>
      <c r="K226" s="46" t="n">
        <v>10</v>
      </c>
      <c r="L226" s="47" t="n">
        <f aca="false">IF(H226="",C226,WORKDAY(INDEX($O$2:$O$2000,MATCH(J226,$I$2:$I$2000,0)),1))</f>
        <v>46245</v>
      </c>
      <c r="M226" s="47" t="str">
        <f aca="false">IF(G226="","",IFERROR(maxifs($O$2:O225,$G$2:G225,G226),""))</f>
        <v/>
      </c>
      <c r="N226" s="47" t="n">
        <f aca="false">IF(G226="",L226,MAX(L226,IF(M226="",L226,WORKDAY(M226,1))))</f>
        <v>46245</v>
      </c>
      <c r="O226" s="47" t="n">
        <f aca="false">WORKDAY(N226,K226-1)</f>
        <v>46258</v>
      </c>
      <c r="P226" s="45" t="n">
        <f aca="false">MAX(0,NETWORKDAYS(L226,N226)-1)</f>
        <v>0</v>
      </c>
      <c r="Q226" s="45" t="str">
        <f aca="false">IF(P226&gt;0,"BOTTLENECK DELAY","")</f>
        <v/>
      </c>
    </row>
    <row r="227" customFormat="false" ht="15" hidden="false" customHeight="false" outlineLevel="0" collapsed="false">
      <c r="A227" s="0" t="n">
        <v>226</v>
      </c>
      <c r="B227" s="0" t="s">
        <v>114</v>
      </c>
      <c r="C227" s="44" t="n">
        <f aca="false">INDEX(Projects!$B$2:$B$100,MATCH(B227,Projects!$A$2:$A$100,0))</f>
        <v>46218</v>
      </c>
      <c r="D227" s="0" t="n">
        <v>6</v>
      </c>
      <c r="E227" s="0" t="s">
        <v>72</v>
      </c>
      <c r="F227" s="0" t="s">
        <v>69</v>
      </c>
      <c r="H227" s="0" t="s">
        <v>22</v>
      </c>
      <c r="I227" s="45" t="str">
        <f aca="false">B227&amp;"|"&amp;E227</f>
        <v>IW15|French Drain</v>
      </c>
      <c r="J227" s="45" t="str">
        <f aca="false">IF(H227="","",B227&amp;"|"&amp;H227)</f>
        <v>IW15|Block</v>
      </c>
      <c r="K227" s="46" t="n">
        <v>2</v>
      </c>
      <c r="L227" s="47" t="n">
        <f aca="false">IF(H227="",C227,WORKDAY(INDEX($O$2:$O$2000,MATCH(J227,$I$2:$I$2000,0)),1))</f>
        <v>46259</v>
      </c>
      <c r="M227" s="47" t="str">
        <f aca="false">IF(G227="","",IFERROR(maxifs($O$2:O226,$G$2:G226,G227),""))</f>
        <v/>
      </c>
      <c r="N227" s="47" t="n">
        <f aca="false">IF(G227="",L227,MAX(L227,IF(M227="",L227,WORKDAY(M227,1))))</f>
        <v>46259</v>
      </c>
      <c r="O227" s="47" t="n">
        <f aca="false">WORKDAY(N227,K227-1)</f>
        <v>46260</v>
      </c>
      <c r="P227" s="45" t="n">
        <f aca="false">MAX(0,NETWORKDAYS(L227,N227)-1)</f>
        <v>0</v>
      </c>
      <c r="Q227" s="45" t="str">
        <f aca="false">IF(P227&gt;0,"BOTTLENECK DELAY","")</f>
        <v/>
      </c>
    </row>
    <row r="228" customFormat="false" ht="15" hidden="false" customHeight="false" outlineLevel="0" collapsed="false">
      <c r="A228" s="0" t="n">
        <v>227</v>
      </c>
      <c r="B228" s="0" t="s">
        <v>114</v>
      </c>
      <c r="C228" s="44" t="n">
        <f aca="false">INDEX(Projects!$B$2:$B$100,MATCH(B228,Projects!$A$2:$A$100,0))</f>
        <v>46218</v>
      </c>
      <c r="D228" s="0" t="n">
        <v>7</v>
      </c>
      <c r="E228" s="0" t="s">
        <v>47</v>
      </c>
      <c r="F228" s="0" t="s">
        <v>46</v>
      </c>
      <c r="H228" s="0" t="s">
        <v>22</v>
      </c>
      <c r="I228" s="45" t="str">
        <f aca="false">B228&amp;"|"&amp;E228</f>
        <v>IW15|Insulation Block</v>
      </c>
      <c r="J228" s="45" t="str">
        <f aca="false">IF(H228="","",B228&amp;"|"&amp;H228)</f>
        <v>IW15|Block</v>
      </c>
      <c r="K228" s="46" t="n">
        <v>2</v>
      </c>
      <c r="L228" s="47" t="n">
        <f aca="false">IF(H228="",C228,WORKDAY(INDEX($O$2:$O$2000,MATCH(J228,$I$2:$I$2000,0)),1))</f>
        <v>46259</v>
      </c>
      <c r="M228" s="47" t="str">
        <f aca="false">IF(G228="","",IFERROR(maxifs($O$2:O227,$G$2:G227,G228),""))</f>
        <v/>
      </c>
      <c r="N228" s="47" t="n">
        <f aca="false">IF(G228="",L228,MAX(L228,IF(M228="",L228,WORKDAY(M228,1))))</f>
        <v>46259</v>
      </c>
      <c r="O228" s="47" t="n">
        <f aca="false">WORKDAY(N228,K228-1)</f>
        <v>46260</v>
      </c>
      <c r="P228" s="45" t="n">
        <f aca="false">MAX(0,NETWORKDAYS(L228,N228)-1)</f>
        <v>0</v>
      </c>
      <c r="Q228" s="45" t="str">
        <f aca="false">IF(P228&gt;0,"BOTTLENECK DELAY","")</f>
        <v/>
      </c>
    </row>
    <row r="229" customFormat="false" ht="15" hidden="false" customHeight="false" outlineLevel="0" collapsed="false">
      <c r="A229" s="0" t="n">
        <v>228</v>
      </c>
      <c r="B229" s="0" t="s">
        <v>114</v>
      </c>
      <c r="C229" s="44" t="n">
        <f aca="false">INDEX(Projects!$B$2:$B$100,MATCH(B229,Projects!$A$2:$A$100,0))</f>
        <v>46218</v>
      </c>
      <c r="D229" s="0" t="n">
        <v>8</v>
      </c>
      <c r="E229" s="0" t="s">
        <v>95</v>
      </c>
      <c r="H229" s="0" t="s">
        <v>47</v>
      </c>
      <c r="I229" s="45" t="str">
        <f aca="false">B229&amp;"|"&amp;E229</f>
        <v>IW15|Rock Work</v>
      </c>
      <c r="J229" s="45" t="str">
        <f aca="false">IF(H229="","",B229&amp;"|"&amp;H229)</f>
        <v>IW15|Insulation Block</v>
      </c>
      <c r="K229" s="46" t="n">
        <v>2</v>
      </c>
      <c r="L229" s="47" t="n">
        <f aca="false">IF(H229="",C229,WORKDAY(INDEX($O$2:$O$2000,MATCH(J229,$I$2:$I$2000,0)),1))</f>
        <v>46261</v>
      </c>
      <c r="M229" s="47" t="str">
        <f aca="false">IF(G229="","",IFERROR(maxifs($O$2:O228,$G$2:G228,G229),""))</f>
        <v/>
      </c>
      <c r="N229" s="47" t="n">
        <f aca="false">IF(G229="",L229,MAX(L229,IF(M229="",L229,WORKDAY(M229,1))))</f>
        <v>46261</v>
      </c>
      <c r="O229" s="47" t="n">
        <f aca="false">WORKDAY(N229,K229-1)</f>
        <v>46262</v>
      </c>
      <c r="P229" s="45" t="n">
        <f aca="false">MAX(0,NETWORKDAYS(L229,N229)-1)</f>
        <v>0</v>
      </c>
      <c r="Q229" s="45" t="str">
        <f aca="false">IF(P229&gt;0,"BOTTLENECK DELAY","")</f>
        <v/>
      </c>
    </row>
    <row r="230" customFormat="false" ht="15" hidden="false" customHeight="false" outlineLevel="0" collapsed="false">
      <c r="A230" s="0" t="n">
        <v>229</v>
      </c>
      <c r="B230" s="0" t="s">
        <v>114</v>
      </c>
      <c r="C230" s="44" t="n">
        <f aca="false">INDEX(Projects!$B$2:$B$100,MATCH(B230,Projects!$A$2:$A$100,0))</f>
        <v>46218</v>
      </c>
      <c r="D230" s="0" t="n">
        <v>9</v>
      </c>
      <c r="E230" s="0" t="s">
        <v>36</v>
      </c>
      <c r="F230" s="0" t="s">
        <v>35</v>
      </c>
      <c r="H230" s="0" t="s">
        <v>95</v>
      </c>
      <c r="I230" s="45" t="str">
        <f aca="false">B230&amp;"|"&amp;E230</f>
        <v>IW15|HVAC Pre</v>
      </c>
      <c r="J230" s="45" t="str">
        <f aca="false">IF(H230="","",B230&amp;"|"&amp;H230)</f>
        <v>IW15|Rock Work</v>
      </c>
      <c r="K230" s="46" t="n">
        <v>2</v>
      </c>
      <c r="L230" s="47" t="n">
        <f aca="false">IF(H230="",C230,WORKDAY(INDEX($O$2:$O$2000,MATCH(J230,$I$2:$I$2000,0)),1))</f>
        <v>46265</v>
      </c>
      <c r="M230" s="47" t="str">
        <f aca="false">IF(G230="","",IFERROR(maxifs($O$2:O229,$G$2:G229,G230),""))</f>
        <v/>
      </c>
      <c r="N230" s="47" t="n">
        <f aca="false">IF(G230="",L230,MAX(L230,IF(M230="",L230,WORKDAY(M230,1))))</f>
        <v>46265</v>
      </c>
      <c r="O230" s="47" t="n">
        <f aca="false">WORKDAY(N230,K230-1)</f>
        <v>46266</v>
      </c>
      <c r="P230" s="45" t="n">
        <f aca="false">MAX(0,NETWORKDAYS(L230,N230)-1)</f>
        <v>0</v>
      </c>
      <c r="Q230" s="45" t="str">
        <f aca="false">IF(P230&gt;0,"BOTTLENECK DELAY","")</f>
        <v/>
      </c>
    </row>
    <row r="231" customFormat="false" ht="15" hidden="false" customHeight="false" outlineLevel="0" collapsed="false">
      <c r="A231" s="0" t="n">
        <v>230</v>
      </c>
      <c r="B231" s="0" t="s">
        <v>114</v>
      </c>
      <c r="C231" s="44" t="n">
        <f aca="false">INDEX(Projects!$B$2:$B$100,MATCH(B231,Projects!$A$2:$A$100,0))</f>
        <v>46218</v>
      </c>
      <c r="D231" s="0" t="n">
        <v>10</v>
      </c>
      <c r="E231" s="0" t="s">
        <v>40</v>
      </c>
      <c r="F231" s="0" t="s">
        <v>39</v>
      </c>
      <c r="G231" s="0" t="s">
        <v>39</v>
      </c>
      <c r="H231" s="0" t="s">
        <v>95</v>
      </c>
      <c r="I231" s="45" t="str">
        <f aca="false">B231&amp;"|"&amp;E231</f>
        <v>IW15|Plumbing Pre</v>
      </c>
      <c r="J231" s="45" t="str">
        <f aca="false">IF(H231="","",B231&amp;"|"&amp;H231)</f>
        <v>IW15|Rock Work</v>
      </c>
      <c r="K231" s="46" t="n">
        <v>5</v>
      </c>
      <c r="L231" s="47" t="n">
        <f aca="false">IF(H231="",C231,WORKDAY(INDEX($O$2:$O$2000,MATCH(J231,$I$2:$I$2000,0)),1))</f>
        <v>46265</v>
      </c>
      <c r="M231" s="47" t="str">
        <f aca="false">IF(G231="","",IFERROR(maxifs($O$2:O230,$G$2:G230,G231),""))</f>
        <v/>
      </c>
      <c r="N231" s="47" t="n">
        <f aca="false">IF(G231="",L231,MAX(L231,IF(M231="",L231,WORKDAY(M231,1))))</f>
        <v>46265</v>
      </c>
      <c r="O231" s="47" t="n">
        <f aca="false">WORKDAY(N231,K231-1)</f>
        <v>46269</v>
      </c>
      <c r="P231" s="45" t="n">
        <f aca="false">MAX(0,NETWORKDAYS(L231,N231)-1)</f>
        <v>0</v>
      </c>
      <c r="Q231" s="45" t="str">
        <f aca="false">IF(P231&gt;0,"BOTTLENECK DELAY","")</f>
        <v/>
      </c>
    </row>
    <row r="232" customFormat="false" ht="15" hidden="false" customHeight="false" outlineLevel="0" collapsed="false">
      <c r="A232" s="0" t="n">
        <v>231</v>
      </c>
      <c r="B232" s="0" t="s">
        <v>114</v>
      </c>
      <c r="C232" s="44" t="n">
        <f aca="false">INDEX(Projects!$B$2:$B$100,MATCH(B232,Projects!$A$2:$A$100,0))</f>
        <v>46218</v>
      </c>
      <c r="D232" s="0" t="n">
        <v>11</v>
      </c>
      <c r="E232" s="0" t="s">
        <v>31</v>
      </c>
      <c r="F232" s="0" t="s">
        <v>30</v>
      </c>
      <c r="H232" s="0" t="s">
        <v>95</v>
      </c>
      <c r="I232" s="45" t="str">
        <f aca="false">B232&amp;"|"&amp;E232</f>
        <v>IW15|Electrical Pre</v>
      </c>
      <c r="J232" s="45" t="str">
        <f aca="false">IF(H232="","",B232&amp;"|"&amp;H232)</f>
        <v>IW15|Rock Work</v>
      </c>
      <c r="K232" s="46" t="n">
        <v>2</v>
      </c>
      <c r="L232" s="47" t="n">
        <f aca="false">IF(H232="",C232,WORKDAY(INDEX($O$2:$O$2000,MATCH(J232,$I$2:$I$2000,0)),1))</f>
        <v>46265</v>
      </c>
      <c r="M232" s="47" t="str">
        <f aca="false">IF(G232="","",IFERROR(maxifs($O$2:O231,$G$2:G231,G232),""))</f>
        <v/>
      </c>
      <c r="N232" s="47" t="n">
        <f aca="false">IF(G232="",L232,MAX(L232,IF(M232="",L232,WORKDAY(M232,1))))</f>
        <v>46265</v>
      </c>
      <c r="O232" s="47" t="n">
        <f aca="false">WORKDAY(N232,K232-1)</f>
        <v>46266</v>
      </c>
      <c r="P232" s="45" t="n">
        <f aca="false">MAX(0,NETWORKDAYS(L232,N232)-1)</f>
        <v>0</v>
      </c>
      <c r="Q232" s="45" t="str">
        <f aca="false">IF(P232&gt;0,"BOTTLENECK DELAY","")</f>
        <v/>
      </c>
    </row>
    <row r="233" customFormat="false" ht="15" hidden="false" customHeight="false" outlineLevel="0" collapsed="false">
      <c r="A233" s="0" t="n">
        <v>232</v>
      </c>
      <c r="B233" s="0" t="s">
        <v>114</v>
      </c>
      <c r="C233" s="44" t="n">
        <f aca="false">INDEX(Projects!$B$2:$B$100,MATCH(B233,Projects!$A$2:$A$100,0))</f>
        <v>46218</v>
      </c>
      <c r="D233" s="0" t="n">
        <v>12</v>
      </c>
      <c r="E233" s="0" t="s">
        <v>13</v>
      </c>
      <c r="F233" s="0" t="s">
        <v>121</v>
      </c>
      <c r="G233" s="0" t="s">
        <v>121</v>
      </c>
      <c r="H233" s="0" t="s">
        <v>40</v>
      </c>
      <c r="I233" s="45" t="str">
        <f aca="false">B233&amp;"|"&amp;E233</f>
        <v>IW15|Slab</v>
      </c>
      <c r="J233" s="45" t="str">
        <f aca="false">IF(H233="","",B233&amp;"|"&amp;H233)</f>
        <v>IW15|Plumbing Pre</v>
      </c>
      <c r="K233" s="46" t="n">
        <v>4</v>
      </c>
      <c r="L233" s="47" t="n">
        <f aca="false">IF(H233="",C233,WORKDAY(INDEX($O$2:$O$2000,MATCH(J233,$I$2:$I$2000,0)),1))</f>
        <v>46272</v>
      </c>
      <c r="M233" s="47" t="str">
        <f aca="false">IF(G233="","",IFERROR(maxifs($O$2:O232,$G$2:G232,G233),""))</f>
        <v/>
      </c>
      <c r="N233" s="47" t="n">
        <f aca="false">IF(G233="",L233,MAX(L233,IF(M233="",L233,WORKDAY(M233,1))))</f>
        <v>46272</v>
      </c>
      <c r="O233" s="47" t="n">
        <f aca="false">WORKDAY(N233,K233-1)</f>
        <v>46275</v>
      </c>
      <c r="P233" s="45" t="n">
        <f aca="false">MAX(0,NETWORKDAYS(L233,N233)-1)</f>
        <v>0</v>
      </c>
      <c r="Q233" s="45" t="str">
        <f aca="false">IF(P233&gt;0,"BOTTLENECK DELAY","")</f>
        <v/>
      </c>
    </row>
    <row r="234" customFormat="false" ht="15" hidden="false" customHeight="false" outlineLevel="0" collapsed="false">
      <c r="A234" s="0" t="n">
        <v>233</v>
      </c>
      <c r="B234" s="0" t="s">
        <v>114</v>
      </c>
      <c r="C234" s="44" t="n">
        <f aca="false">INDEX(Projects!$B$2:$B$100,MATCH(B234,Projects!$A$2:$A$100,0))</f>
        <v>46218</v>
      </c>
      <c r="D234" s="0" t="n">
        <v>13</v>
      </c>
      <c r="E234" s="0" t="s">
        <v>26</v>
      </c>
      <c r="F234" s="0" t="s">
        <v>122</v>
      </c>
      <c r="H234" s="0" t="s">
        <v>13</v>
      </c>
      <c r="I234" s="45" t="str">
        <f aca="false">B234&amp;"|"&amp;E234</f>
        <v>IW15|Framing</v>
      </c>
      <c r="J234" s="45" t="str">
        <f aca="false">IF(H234="","",B234&amp;"|"&amp;H234)</f>
        <v>IW15|Slab</v>
      </c>
      <c r="K234" s="46" t="n">
        <v>30</v>
      </c>
      <c r="L234" s="47" t="n">
        <f aca="false">IF(H234="",C234,WORKDAY(INDEX($O$2:$O$2000,MATCH(J234,$I$2:$I$2000,0)),1))</f>
        <v>46276</v>
      </c>
      <c r="M234" s="47" t="str">
        <f aca="false">IF(G234="","",IFERROR(maxifs($O$2:O233,$G$2:G233,G234),""))</f>
        <v/>
      </c>
      <c r="N234" s="47" t="n">
        <f aca="false">IF(G234="",L234,MAX(L234,IF(M234="",L234,WORKDAY(M234,1))))</f>
        <v>46276</v>
      </c>
      <c r="O234" s="47" t="n">
        <f aca="false">WORKDAY(N234,K234-1)</f>
        <v>46317</v>
      </c>
      <c r="P234" s="45" t="n">
        <f aca="false">MAX(0,NETWORKDAYS(L234,N234)-1)</f>
        <v>0</v>
      </c>
      <c r="Q234" s="45" t="str">
        <f aca="false">IF(P234&gt;0,"BOTTLENECK DELAY","")</f>
        <v/>
      </c>
    </row>
    <row r="235" customFormat="false" ht="15" hidden="false" customHeight="false" outlineLevel="0" collapsed="false">
      <c r="A235" s="0" t="n">
        <v>234</v>
      </c>
      <c r="B235" s="0" t="s">
        <v>114</v>
      </c>
      <c r="C235" s="44" t="n">
        <f aca="false">INDEX(Projects!$B$2:$B$100,MATCH(B235,Projects!$A$2:$A$100,0))</f>
        <v>46218</v>
      </c>
      <c r="D235" s="0" t="n">
        <v>14</v>
      </c>
      <c r="E235" s="0" t="s">
        <v>29</v>
      </c>
      <c r="F235" s="0" t="s">
        <v>28</v>
      </c>
      <c r="H235" s="0" t="s">
        <v>26</v>
      </c>
      <c r="I235" s="45" t="str">
        <f aca="false">B235&amp;"|"&amp;E235</f>
        <v>IW15|Roofing</v>
      </c>
      <c r="J235" s="45" t="str">
        <f aca="false">IF(H235="","",B235&amp;"|"&amp;H235)</f>
        <v>IW15|Framing</v>
      </c>
      <c r="K235" s="46" t="n">
        <v>4</v>
      </c>
      <c r="L235" s="47" t="n">
        <f aca="false">IF(H235="",C235,WORKDAY(INDEX($O$2:$O$2000,MATCH(J235,$I$2:$I$2000,0)),1))</f>
        <v>46318</v>
      </c>
      <c r="M235" s="47" t="str">
        <f aca="false">IF(G235="","",IFERROR(maxifs($O$2:O234,$G$2:G234,G235),""))</f>
        <v/>
      </c>
      <c r="N235" s="47" t="n">
        <f aca="false">IF(G235="",L235,MAX(L235,IF(M235="",L235,WORKDAY(M235,1))))</f>
        <v>46318</v>
      </c>
      <c r="O235" s="47" t="n">
        <f aca="false">WORKDAY(N235,K235-1)</f>
        <v>46323</v>
      </c>
      <c r="P235" s="45" t="n">
        <f aca="false">MAX(0,NETWORKDAYS(L235,N235)-1)</f>
        <v>0</v>
      </c>
      <c r="Q235" s="45" t="str">
        <f aca="false">IF(P235&gt;0,"BOTTLENECK DELAY","")</f>
        <v/>
      </c>
    </row>
    <row r="236" customFormat="false" ht="15" hidden="false" customHeight="false" outlineLevel="0" collapsed="false">
      <c r="A236" s="0" t="n">
        <v>235</v>
      </c>
      <c r="B236" s="0" t="s">
        <v>114</v>
      </c>
      <c r="C236" s="44" t="n">
        <f aca="false">INDEX(Projects!$B$2:$B$100,MATCH(B236,Projects!$A$2:$A$100,0))</f>
        <v>46218</v>
      </c>
      <c r="D236" s="0" t="n">
        <v>15</v>
      </c>
      <c r="E236" s="0" t="s">
        <v>23</v>
      </c>
      <c r="F236" s="0" t="s">
        <v>21</v>
      </c>
      <c r="H236" s="0" t="s">
        <v>29</v>
      </c>
      <c r="I236" s="45" t="str">
        <f aca="false">B236&amp;"|"&amp;E236</f>
        <v>IW15|Brick</v>
      </c>
      <c r="J236" s="45" t="str">
        <f aca="false">IF(H236="","",B236&amp;"|"&amp;H236)</f>
        <v>IW15|Roofing</v>
      </c>
      <c r="K236" s="46" t="n">
        <v>20</v>
      </c>
      <c r="L236" s="47" t="n">
        <f aca="false">IF(H236="",C236,WORKDAY(INDEX($O$2:$O$2000,MATCH(J236,$I$2:$I$2000,0)),1))</f>
        <v>46324</v>
      </c>
      <c r="M236" s="47" t="str">
        <f aca="false">IF(G236="","",IFERROR(maxifs($O$2:O235,$G$2:G235,G236),""))</f>
        <v/>
      </c>
      <c r="N236" s="47" t="n">
        <f aca="false">IF(G236="",L236,MAX(L236,IF(M236="",L236,WORKDAY(M236,1))))</f>
        <v>46324</v>
      </c>
      <c r="O236" s="47" t="n">
        <f aca="false">WORKDAY(N236,K236-1)</f>
        <v>46351</v>
      </c>
      <c r="P236" s="45" t="n">
        <f aca="false">MAX(0,NETWORKDAYS(L236,N236)-1)</f>
        <v>0</v>
      </c>
      <c r="Q236" s="45" t="str">
        <f aca="false">IF(P236&gt;0,"BOTTLENECK DELAY","")</f>
        <v/>
      </c>
    </row>
    <row r="237" customFormat="false" ht="15" hidden="false" customHeight="false" outlineLevel="0" collapsed="false">
      <c r="A237" s="0" t="n">
        <v>236</v>
      </c>
      <c r="B237" s="0" t="s">
        <v>114</v>
      </c>
      <c r="C237" s="44" t="n">
        <f aca="false">INDEX(Projects!$B$2:$B$100,MATCH(B237,Projects!$A$2:$A$100,0))</f>
        <v>46218</v>
      </c>
      <c r="D237" s="0" t="n">
        <v>16</v>
      </c>
      <c r="E237" s="0" t="s">
        <v>123</v>
      </c>
      <c r="F237" s="0" t="s">
        <v>21</v>
      </c>
      <c r="H237" s="0" t="s">
        <v>29</v>
      </c>
      <c r="I237" s="45" t="str">
        <f aca="false">B237&amp;"|"&amp;E237</f>
        <v>IW15|Stone</v>
      </c>
      <c r="J237" s="45" t="str">
        <f aca="false">IF(H237="","",B237&amp;"|"&amp;H237)</f>
        <v>IW15|Roofing</v>
      </c>
      <c r="K237" s="46" t="n">
        <v>20</v>
      </c>
      <c r="L237" s="47" t="n">
        <f aca="false">IF(H237="",C237,WORKDAY(INDEX($O$2:$O$2000,MATCH(J237,$I$2:$I$2000,0)),1))</f>
        <v>46324</v>
      </c>
      <c r="M237" s="47" t="str">
        <f aca="false">IF(G237="","",IFERROR(maxifs($O$2:O236,$G$2:G236,G237),""))</f>
        <v/>
      </c>
      <c r="N237" s="47" t="n">
        <f aca="false">IF(G237="",L237,MAX(L237,IF(M237="",L237,WORKDAY(M237,1))))</f>
        <v>46324</v>
      </c>
      <c r="O237" s="47" t="n">
        <f aca="false">WORKDAY(N237,K237-1)</f>
        <v>46351</v>
      </c>
      <c r="P237" s="45" t="n">
        <f aca="false">MAX(0,NETWORKDAYS(L237,N237)-1)</f>
        <v>0</v>
      </c>
      <c r="Q237" s="45" t="str">
        <f aca="false">IF(P237&gt;0,"BOTTLENECK DELAY","")</f>
        <v/>
      </c>
    </row>
    <row r="238" customFormat="false" ht="15" hidden="false" customHeight="false" outlineLevel="0" collapsed="false">
      <c r="A238" s="0" t="n">
        <v>237</v>
      </c>
      <c r="B238" s="0" t="s">
        <v>114</v>
      </c>
      <c r="C238" s="44" t="n">
        <f aca="false">INDEX(Projects!$B$2:$B$100,MATCH(B238,Projects!$A$2:$A$100,0))</f>
        <v>46218</v>
      </c>
      <c r="D238" s="0" t="n">
        <v>17</v>
      </c>
      <c r="E238" s="0" t="s">
        <v>27</v>
      </c>
      <c r="F238" s="0" t="s">
        <v>122</v>
      </c>
      <c r="H238" s="0" t="s">
        <v>29</v>
      </c>
      <c r="I238" s="45" t="str">
        <f aca="false">B238&amp;"|"&amp;E238</f>
        <v>IW15|Siding</v>
      </c>
      <c r="J238" s="45" t="str">
        <f aca="false">IF(H238="","",B238&amp;"|"&amp;H238)</f>
        <v>IW15|Roofing</v>
      </c>
      <c r="K238" s="46" t="n">
        <v>20</v>
      </c>
      <c r="L238" s="47" t="n">
        <f aca="false">IF(H238="",C238,WORKDAY(INDEX($O$2:$O$2000,MATCH(J238,$I$2:$I$2000,0)),1))</f>
        <v>46324</v>
      </c>
      <c r="M238" s="47" t="str">
        <f aca="false">IF(G238="","",IFERROR(maxifs($O$2:O237,$G$2:G237,G238),""))</f>
        <v/>
      </c>
      <c r="N238" s="47" t="n">
        <f aca="false">IF(G238="",L238,MAX(L238,IF(M238="",L238,WORKDAY(M238,1))))</f>
        <v>46324</v>
      </c>
      <c r="O238" s="47" t="n">
        <f aca="false">WORKDAY(N238,K238-1)</f>
        <v>46351</v>
      </c>
      <c r="P238" s="45" t="n">
        <f aca="false">MAX(0,NETWORKDAYS(L238,N238)-1)</f>
        <v>0</v>
      </c>
      <c r="Q238" s="45" t="str">
        <f aca="false">IF(P238&gt;0,"BOTTLENECK DELAY","")</f>
        <v/>
      </c>
    </row>
    <row r="239" customFormat="false" ht="15" hidden="false" customHeight="false" outlineLevel="0" collapsed="false">
      <c r="A239" s="0" t="n">
        <v>238</v>
      </c>
      <c r="B239" s="0" t="s">
        <v>114</v>
      </c>
      <c r="C239" s="44" t="n">
        <f aca="false">INDEX(Projects!$B$2:$B$100,MATCH(B239,Projects!$A$2:$A$100,0))</f>
        <v>46218</v>
      </c>
      <c r="D239" s="0" t="n">
        <v>18</v>
      </c>
      <c r="E239" s="0" t="s">
        <v>96</v>
      </c>
      <c r="H239" s="0" t="s">
        <v>23</v>
      </c>
      <c r="I239" s="45" t="str">
        <f aca="false">B239&amp;"|"&amp;E239</f>
        <v>IW15|Rough Grade</v>
      </c>
      <c r="J239" s="45" t="str">
        <f aca="false">IF(H239="","",B239&amp;"|"&amp;H239)</f>
        <v>IW15|Brick</v>
      </c>
      <c r="K239" s="46" t="n">
        <v>2</v>
      </c>
      <c r="L239" s="47" t="n">
        <f aca="false">IF(H239="",C239,WORKDAY(INDEX($O$2:$O$2000,MATCH(J239,$I$2:$I$2000,0)),1))</f>
        <v>46352</v>
      </c>
      <c r="M239" s="47" t="str">
        <f aca="false">IF(G239="","",IFERROR(maxifs($O$2:O238,$G$2:G238,G239),""))</f>
        <v/>
      </c>
      <c r="N239" s="47" t="n">
        <f aca="false">IF(G239="",L239,MAX(L239,IF(M239="",L239,WORKDAY(M239,1))))</f>
        <v>46352</v>
      </c>
      <c r="O239" s="47" t="n">
        <f aca="false">WORKDAY(N239,K239-1)</f>
        <v>46353</v>
      </c>
      <c r="P239" s="45" t="n">
        <f aca="false">MAX(0,NETWORKDAYS(L239,N239)-1)</f>
        <v>0</v>
      </c>
      <c r="Q239" s="45" t="str">
        <f aca="false">IF(P239&gt;0,"BOTTLENECK DELAY","")</f>
        <v/>
      </c>
    </row>
    <row r="240" customFormat="false" ht="15" hidden="false" customHeight="false" outlineLevel="0" collapsed="false">
      <c r="A240" s="0" t="n">
        <v>239</v>
      </c>
      <c r="B240" s="0" t="s">
        <v>114</v>
      </c>
      <c r="C240" s="44" t="n">
        <f aca="false">INDEX(Projects!$B$2:$B$100,MATCH(B240,Projects!$A$2:$A$100,0))</f>
        <v>46218</v>
      </c>
      <c r="D240" s="0" t="n">
        <v>19</v>
      </c>
      <c r="E240" s="0" t="s">
        <v>75</v>
      </c>
      <c r="F240" s="0" t="s">
        <v>124</v>
      </c>
      <c r="H240" s="0" t="s">
        <v>96</v>
      </c>
      <c r="I240" s="45" t="str">
        <f aca="false">B240&amp;"|"&amp;E240</f>
        <v>IW15|Irrigation</v>
      </c>
      <c r="J240" s="45" t="str">
        <f aca="false">IF(H240="","",B240&amp;"|"&amp;H240)</f>
        <v>IW15|Rough Grade</v>
      </c>
      <c r="K240" s="46" t="n">
        <v>2</v>
      </c>
      <c r="L240" s="47" t="n">
        <f aca="false">IF(H240="",C240,WORKDAY(INDEX($O$2:$O$2000,MATCH(J240,$I$2:$I$2000,0)),1))</f>
        <v>46356</v>
      </c>
      <c r="M240" s="47" t="str">
        <f aca="false">IF(G240="","",IFERROR(maxifs($O$2:O239,$G$2:G239,G240),""))</f>
        <v/>
      </c>
      <c r="N240" s="47" t="n">
        <f aca="false">IF(G240="",L240,MAX(L240,IF(M240="",L240,WORKDAY(M240,1))))</f>
        <v>46356</v>
      </c>
      <c r="O240" s="47" t="n">
        <f aca="false">WORKDAY(N240,K240-1)</f>
        <v>46357</v>
      </c>
      <c r="P240" s="45" t="n">
        <f aca="false">MAX(0,NETWORKDAYS(L240,N240)-1)</f>
        <v>0</v>
      </c>
      <c r="Q240" s="45" t="str">
        <f aca="false">IF(P240&gt;0,"BOTTLENECK DELAY","")</f>
        <v/>
      </c>
    </row>
    <row r="241" customFormat="false" ht="15" hidden="false" customHeight="false" outlineLevel="0" collapsed="false">
      <c r="A241" s="0" t="n">
        <v>240</v>
      </c>
      <c r="B241" s="0" t="s">
        <v>114</v>
      </c>
      <c r="C241" s="44" t="n">
        <f aca="false">INDEX(Projects!$B$2:$B$100,MATCH(B241,Projects!$A$2:$A$100,0))</f>
        <v>46218</v>
      </c>
      <c r="D241" s="0" t="n">
        <v>20</v>
      </c>
      <c r="E241" s="0" t="s">
        <v>71</v>
      </c>
      <c r="F241" s="0" t="s">
        <v>69</v>
      </c>
      <c r="H241" s="0" t="s">
        <v>75</v>
      </c>
      <c r="I241" s="45" t="str">
        <f aca="false">B241&amp;"|"&amp;E241</f>
        <v>IW15|Finish Grade</v>
      </c>
      <c r="J241" s="45" t="str">
        <f aca="false">IF(H241="","",B241&amp;"|"&amp;H241)</f>
        <v>IW15|Irrigation</v>
      </c>
      <c r="K241" s="46" t="n">
        <v>2</v>
      </c>
      <c r="L241" s="47" t="n">
        <f aca="false">IF(H241="",C241,WORKDAY(INDEX($O$2:$O$2000,MATCH(J241,$I$2:$I$2000,0)),1))</f>
        <v>46358</v>
      </c>
      <c r="M241" s="47" t="str">
        <f aca="false">IF(G241="","",IFERROR(maxifs($O$2:O240,$G$2:G240,G241),""))</f>
        <v/>
      </c>
      <c r="N241" s="47" t="n">
        <f aca="false">IF(G241="",L241,MAX(L241,IF(M241="",L241,WORKDAY(M241,1))))</f>
        <v>46358</v>
      </c>
      <c r="O241" s="47" t="n">
        <f aca="false">WORKDAY(N241,K241-1)</f>
        <v>46359</v>
      </c>
      <c r="P241" s="45" t="n">
        <f aca="false">MAX(0,NETWORKDAYS(L241,N241)-1)</f>
        <v>0</v>
      </c>
      <c r="Q241" s="45" t="str">
        <f aca="false">IF(P241&gt;0,"BOTTLENECK DELAY","")</f>
        <v/>
      </c>
    </row>
    <row r="242" customFormat="false" ht="15" hidden="false" customHeight="false" outlineLevel="0" collapsed="false">
      <c r="A242" s="0" t="n">
        <v>241</v>
      </c>
      <c r="B242" s="0" t="s">
        <v>114</v>
      </c>
      <c r="C242" s="44" t="n">
        <f aca="false">INDEX(Projects!$B$2:$B$100,MATCH(B242,Projects!$A$2:$A$100,0))</f>
        <v>46218</v>
      </c>
      <c r="D242" s="0" t="n">
        <v>21</v>
      </c>
      <c r="E242" s="0" t="s">
        <v>125</v>
      </c>
      <c r="F242" s="0" t="s">
        <v>69</v>
      </c>
      <c r="H242" s="0" t="s">
        <v>75</v>
      </c>
      <c r="I242" s="45" t="str">
        <f aca="false">B242&amp;"|"&amp;E242</f>
        <v>IW15|Landscaping</v>
      </c>
      <c r="J242" s="45" t="str">
        <f aca="false">IF(H242="","",B242&amp;"|"&amp;H242)</f>
        <v>IW15|Irrigation</v>
      </c>
      <c r="K242" s="46" t="n">
        <v>2</v>
      </c>
      <c r="L242" s="47" t="n">
        <f aca="false">IF(H242="",C242,WORKDAY(INDEX($O$2:$O$2000,MATCH(J242,$I$2:$I$2000,0)),1))</f>
        <v>46358</v>
      </c>
      <c r="M242" s="47" t="str">
        <f aca="false">IF(G242="","",IFERROR(maxifs($O$2:O241,$G$2:G241,G242),""))</f>
        <v/>
      </c>
      <c r="N242" s="47" t="n">
        <f aca="false">IF(G242="",L242,MAX(L242,IF(M242="",L242,WORKDAY(M242,1))))</f>
        <v>46358</v>
      </c>
      <c r="O242" s="47" t="n">
        <f aca="false">WORKDAY(N242,K242-1)</f>
        <v>46359</v>
      </c>
      <c r="P242" s="45" t="n">
        <f aca="false">MAX(0,NETWORKDAYS(L242,N242)-1)</f>
        <v>0</v>
      </c>
      <c r="Q242" s="45" t="str">
        <f aca="false">IF(P242&gt;0,"BOTTLENECK DELAY","")</f>
        <v/>
      </c>
    </row>
    <row r="243" customFormat="false" ht="15" hidden="false" customHeight="false" outlineLevel="0" collapsed="false">
      <c r="A243" s="0" t="n">
        <v>242</v>
      </c>
      <c r="B243" s="0" t="s">
        <v>114</v>
      </c>
      <c r="C243" s="44" t="n">
        <f aca="false">INDEX(Projects!$B$2:$B$100,MATCH(B243,Projects!$A$2:$A$100,0))</f>
        <v>46218</v>
      </c>
      <c r="D243" s="0" t="n">
        <v>22</v>
      </c>
      <c r="E243" s="0" t="s">
        <v>77</v>
      </c>
      <c r="F243" s="0" t="s">
        <v>76</v>
      </c>
      <c r="H243" s="0" t="s">
        <v>71</v>
      </c>
      <c r="I243" s="45" t="str">
        <f aca="false">B243&amp;"|"&amp;E243</f>
        <v>IW15|Lawn Seeding</v>
      </c>
      <c r="J243" s="45" t="str">
        <f aca="false">IF(H243="","",B243&amp;"|"&amp;H243)</f>
        <v>IW15|Finish Grade</v>
      </c>
      <c r="K243" s="46" t="n">
        <v>2</v>
      </c>
      <c r="L243" s="47" t="n">
        <f aca="false">IF(H243="",C243,WORKDAY(INDEX($O$2:$O$2000,MATCH(J243,$I$2:$I$2000,0)),1))</f>
        <v>46360</v>
      </c>
      <c r="M243" s="47" t="str">
        <f aca="false">IF(G243="","",IFERROR(maxifs($O$2:O242,$G$2:G242,G243),""))</f>
        <v/>
      </c>
      <c r="N243" s="47" t="n">
        <f aca="false">IF(G243="",L243,MAX(L243,IF(M243="",L243,WORKDAY(M243,1))))</f>
        <v>46360</v>
      </c>
      <c r="O243" s="47" t="n">
        <f aca="false">WORKDAY(N243,K243-1)</f>
        <v>46363</v>
      </c>
      <c r="P243" s="45" t="n">
        <f aca="false">MAX(0,NETWORKDAYS(L243,N243)-1)</f>
        <v>0</v>
      </c>
      <c r="Q243" s="45" t="str">
        <f aca="false">IF(P243&gt;0,"BOTTLENECK DELAY","")</f>
        <v/>
      </c>
    </row>
    <row r="244" customFormat="false" ht="15" hidden="false" customHeight="false" outlineLevel="0" collapsed="false">
      <c r="A244" s="0" t="n">
        <v>243</v>
      </c>
      <c r="B244" s="0" t="s">
        <v>114</v>
      </c>
      <c r="C244" s="44" t="n">
        <f aca="false">INDEX(Projects!$B$2:$B$100,MATCH(B244,Projects!$A$2:$A$100,0))</f>
        <v>46218</v>
      </c>
      <c r="D244" s="0" t="n">
        <v>23</v>
      </c>
      <c r="E244" s="0" t="s">
        <v>97</v>
      </c>
      <c r="H244" s="0" t="s">
        <v>96</v>
      </c>
      <c r="I244" s="45" t="str">
        <f aca="false">B244&amp;"|"&amp;E244</f>
        <v>IW15|Gutter drains</v>
      </c>
      <c r="J244" s="45" t="str">
        <f aca="false">IF(H244="","",B244&amp;"|"&amp;H244)</f>
        <v>IW15|Rough Grade</v>
      </c>
      <c r="K244" s="46" t="n">
        <v>2</v>
      </c>
      <c r="L244" s="47" t="n">
        <f aca="false">IF(H244="",C244,WORKDAY(INDEX($O$2:$O$2000,MATCH(J244,$I$2:$I$2000,0)),1))</f>
        <v>46356</v>
      </c>
      <c r="M244" s="47" t="str">
        <f aca="false">IF(G244="","",IFERROR(maxifs($O$2:O243,$G$2:G243,G244),""))</f>
        <v/>
      </c>
      <c r="N244" s="47" t="n">
        <f aca="false">IF(G244="",L244,MAX(L244,IF(M244="",L244,WORKDAY(M244,1))))</f>
        <v>46356</v>
      </c>
      <c r="O244" s="47" t="n">
        <f aca="false">WORKDAY(N244,K244-1)</f>
        <v>46357</v>
      </c>
      <c r="P244" s="45" t="n">
        <f aca="false">MAX(0,NETWORKDAYS(L244,N244)-1)</f>
        <v>0</v>
      </c>
      <c r="Q244" s="45" t="str">
        <f aca="false">IF(P244&gt;0,"BOTTLENECK DELAY","")</f>
        <v/>
      </c>
    </row>
    <row r="245" customFormat="false" ht="15" hidden="false" customHeight="false" outlineLevel="0" collapsed="false">
      <c r="A245" s="0" t="n">
        <v>244</v>
      </c>
      <c r="B245" s="0" t="s">
        <v>114</v>
      </c>
      <c r="C245" s="44" t="n">
        <f aca="false">INDEX(Projects!$B$2:$B$100,MATCH(B245,Projects!$A$2:$A$100,0))</f>
        <v>46218</v>
      </c>
      <c r="D245" s="0" t="n">
        <v>24</v>
      </c>
      <c r="E245" s="0" t="s">
        <v>37</v>
      </c>
      <c r="F245" s="0" t="s">
        <v>35</v>
      </c>
      <c r="H245" s="0" t="s">
        <v>26</v>
      </c>
      <c r="I245" s="45" t="str">
        <f aca="false">B245&amp;"|"&amp;E245</f>
        <v>IW15|HVAC Rough</v>
      </c>
      <c r="J245" s="45" t="str">
        <f aca="false">IF(H245="","",B245&amp;"|"&amp;H245)</f>
        <v>IW15|Framing</v>
      </c>
      <c r="K245" s="46" t="n">
        <v>5</v>
      </c>
      <c r="L245" s="47" t="n">
        <f aca="false">IF(H245="",C245,WORKDAY(INDEX($O$2:$O$2000,MATCH(J245,$I$2:$I$2000,0)),1))</f>
        <v>46318</v>
      </c>
      <c r="M245" s="47" t="str">
        <f aca="false">IF(G245="","",IFERROR(maxifs($O$2:O244,$G$2:G244,G245),""))</f>
        <v/>
      </c>
      <c r="N245" s="47" t="n">
        <f aca="false">IF(G245="",L245,MAX(L245,IF(M245="",L245,WORKDAY(M245,1))))</f>
        <v>46318</v>
      </c>
      <c r="O245" s="47" t="n">
        <f aca="false">WORKDAY(N245,K245-1)</f>
        <v>46324</v>
      </c>
      <c r="P245" s="45" t="n">
        <f aca="false">MAX(0,NETWORKDAYS(L245,N245)-1)</f>
        <v>0</v>
      </c>
      <c r="Q245" s="45" t="str">
        <f aca="false">IF(P245&gt;0,"BOTTLENECK DELAY","")</f>
        <v/>
      </c>
    </row>
    <row r="246" customFormat="false" ht="15" hidden="false" customHeight="false" outlineLevel="0" collapsed="false">
      <c r="A246" s="0" t="n">
        <v>245</v>
      </c>
      <c r="B246" s="0" t="s">
        <v>114</v>
      </c>
      <c r="C246" s="44" t="n">
        <f aca="false">INDEX(Projects!$B$2:$B$100,MATCH(B246,Projects!$A$2:$A$100,0))</f>
        <v>46218</v>
      </c>
      <c r="D246" s="0" t="n">
        <v>25</v>
      </c>
      <c r="E246" s="0" t="s">
        <v>41</v>
      </c>
      <c r="F246" s="0" t="s">
        <v>39</v>
      </c>
      <c r="G246" s="0" t="s">
        <v>39</v>
      </c>
      <c r="H246" s="0" t="s">
        <v>26</v>
      </c>
      <c r="I246" s="45" t="str">
        <f aca="false">B246&amp;"|"&amp;E246</f>
        <v>IW15|Plumbing Rough</v>
      </c>
      <c r="J246" s="45" t="str">
        <f aca="false">IF(H246="","",B246&amp;"|"&amp;H246)</f>
        <v>IW15|Framing</v>
      </c>
      <c r="K246" s="46" t="n">
        <v>5</v>
      </c>
      <c r="L246" s="47" t="n">
        <f aca="false">IF(H246="",C246,WORKDAY(INDEX($O$2:$O$2000,MATCH(J246,$I$2:$I$2000,0)),1))</f>
        <v>46318</v>
      </c>
      <c r="M246" s="47" t="str">
        <f aca="false">IF(G246="","",IFERROR(maxifs($O$2:O245,$G$2:G245,G246),""))</f>
        <v/>
      </c>
      <c r="N246" s="47" t="n">
        <f aca="false">IF(G246="",L246,MAX(L246,IF(M246="",L246,WORKDAY(M246,1))))</f>
        <v>46318</v>
      </c>
      <c r="O246" s="47" t="n">
        <f aca="false">WORKDAY(N246,K246-1)</f>
        <v>46324</v>
      </c>
      <c r="P246" s="45" t="n">
        <f aca="false">MAX(0,NETWORKDAYS(L246,N246)-1)</f>
        <v>0</v>
      </c>
      <c r="Q246" s="45" t="str">
        <f aca="false">IF(P246&gt;0,"BOTTLENECK DELAY","")</f>
        <v/>
      </c>
    </row>
    <row r="247" customFormat="false" ht="15" hidden="false" customHeight="false" outlineLevel="0" collapsed="false">
      <c r="A247" s="0" t="n">
        <v>246</v>
      </c>
      <c r="B247" s="0" t="s">
        <v>114</v>
      </c>
      <c r="C247" s="44" t="n">
        <f aca="false">INDEX(Projects!$B$2:$B$100,MATCH(B247,Projects!$A$2:$A$100,0))</f>
        <v>46218</v>
      </c>
      <c r="D247" s="0" t="n">
        <v>26</v>
      </c>
      <c r="E247" s="0" t="s">
        <v>32</v>
      </c>
      <c r="F247" s="0" t="s">
        <v>30</v>
      </c>
      <c r="H247" s="0" t="s">
        <v>26</v>
      </c>
      <c r="I247" s="45" t="str">
        <f aca="false">B247&amp;"|"&amp;E247</f>
        <v>IW15|Electrical Rough</v>
      </c>
      <c r="J247" s="45" t="str">
        <f aca="false">IF(H247="","",B247&amp;"|"&amp;H247)</f>
        <v>IW15|Framing</v>
      </c>
      <c r="K247" s="46" t="n">
        <v>10</v>
      </c>
      <c r="L247" s="47" t="n">
        <f aca="false">IF(H247="",C247,WORKDAY(INDEX($O$2:$O$2000,MATCH(J247,$I$2:$I$2000,0)),1))</f>
        <v>46318</v>
      </c>
      <c r="M247" s="47" t="str">
        <f aca="false">IF(G247="","",IFERROR(maxifs($O$2:O246,$G$2:G246,G247),""))</f>
        <v/>
      </c>
      <c r="N247" s="47" t="n">
        <f aca="false">IF(G247="",L247,MAX(L247,IF(M247="",L247,WORKDAY(M247,1))))</f>
        <v>46318</v>
      </c>
      <c r="O247" s="47" t="n">
        <f aca="false">WORKDAY(N247,K247-1)</f>
        <v>46331</v>
      </c>
      <c r="P247" s="45" t="n">
        <f aca="false">MAX(0,NETWORKDAYS(L247,N247)-1)</f>
        <v>0</v>
      </c>
      <c r="Q247" s="45" t="str">
        <f aca="false">IF(P247&gt;0,"BOTTLENECK DELAY","")</f>
        <v/>
      </c>
    </row>
    <row r="248" customFormat="false" ht="15" hidden="false" customHeight="false" outlineLevel="0" collapsed="false">
      <c r="A248" s="0" t="n">
        <v>247</v>
      </c>
      <c r="B248" s="0" t="s">
        <v>114</v>
      </c>
      <c r="C248" s="44" t="n">
        <f aca="false">INDEX(Projects!$B$2:$B$100,MATCH(B248,Projects!$A$2:$A$100,0))</f>
        <v>46218</v>
      </c>
      <c r="D248" s="0" t="n">
        <v>27</v>
      </c>
      <c r="E248" s="0" t="s">
        <v>48</v>
      </c>
      <c r="F248" s="0" t="s">
        <v>46</v>
      </c>
      <c r="H248" s="0" t="s">
        <v>32</v>
      </c>
      <c r="I248" s="45" t="str">
        <f aca="false">B248&amp;"|"&amp;E248</f>
        <v>IW15|Insulation Walls</v>
      </c>
      <c r="J248" s="45" t="str">
        <f aca="false">IF(H248="","",B248&amp;"|"&amp;H248)</f>
        <v>IW15|Electrical Rough</v>
      </c>
      <c r="K248" s="46" t="n">
        <v>2</v>
      </c>
      <c r="L248" s="47" t="n">
        <f aca="false">IF(H248="",C248,WORKDAY(INDEX($O$2:$O$2000,MATCH(J248,$I$2:$I$2000,0)),1))</f>
        <v>46332</v>
      </c>
      <c r="M248" s="47" t="str">
        <f aca="false">IF(G248="","",IFERROR(maxifs($O$2:O247,$G$2:G247,G248),""))</f>
        <v/>
      </c>
      <c r="N248" s="47" t="n">
        <f aca="false">IF(G248="",L248,MAX(L248,IF(M248="",L248,WORKDAY(M248,1))))</f>
        <v>46332</v>
      </c>
      <c r="O248" s="47" t="n">
        <f aca="false">WORKDAY(N248,K248-1)</f>
        <v>46335</v>
      </c>
      <c r="P248" s="45" t="n">
        <f aca="false">MAX(0,NETWORKDAYS(L248,N248)-1)</f>
        <v>0</v>
      </c>
      <c r="Q248" s="45" t="str">
        <f aca="false">IF(P248&gt;0,"BOTTLENECK DELAY","")</f>
        <v/>
      </c>
    </row>
    <row r="249" customFormat="false" ht="15" hidden="false" customHeight="false" outlineLevel="0" collapsed="false">
      <c r="A249" s="0" t="n">
        <v>248</v>
      </c>
      <c r="B249" s="0" t="s">
        <v>114</v>
      </c>
      <c r="C249" s="44" t="n">
        <f aca="false">INDEX(Projects!$B$2:$B$100,MATCH(B249,Projects!$A$2:$A$100,0))</f>
        <v>46218</v>
      </c>
      <c r="D249" s="0" t="n">
        <v>28</v>
      </c>
      <c r="E249" s="0" t="s">
        <v>51</v>
      </c>
      <c r="F249" s="0" t="s">
        <v>50</v>
      </c>
      <c r="H249" s="0" t="s">
        <v>48</v>
      </c>
      <c r="I249" s="45" t="str">
        <f aca="false">B249&amp;"|"&amp;E249</f>
        <v>IW15|Sheetrock</v>
      </c>
      <c r="J249" s="45" t="str">
        <f aca="false">IF(H249="","",B249&amp;"|"&amp;H249)</f>
        <v>IW15|Insulation Walls</v>
      </c>
      <c r="K249" s="46" t="n">
        <v>15</v>
      </c>
      <c r="L249" s="47" t="n">
        <f aca="false">IF(H249="",C249,WORKDAY(INDEX($O$2:$O$2000,MATCH(J249,$I$2:$I$2000,0)),1))</f>
        <v>46336</v>
      </c>
      <c r="M249" s="47" t="str">
        <f aca="false">IF(G249="","",IFERROR(maxifs($O$2:O248,$G$2:G248,G249),""))</f>
        <v/>
      </c>
      <c r="N249" s="47" t="n">
        <f aca="false">IF(G249="",L249,MAX(L249,IF(M249="",L249,WORKDAY(M249,1))))</f>
        <v>46336</v>
      </c>
      <c r="O249" s="47" t="n">
        <f aca="false">WORKDAY(N249,K249-1)</f>
        <v>46356</v>
      </c>
      <c r="P249" s="45" t="n">
        <f aca="false">MAX(0,NETWORKDAYS(L249,N249)-1)</f>
        <v>0</v>
      </c>
      <c r="Q249" s="45" t="str">
        <f aca="false">IF(P249&gt;0,"BOTTLENECK DELAY","")</f>
        <v/>
      </c>
    </row>
    <row r="250" customFormat="false" ht="15" hidden="false" customHeight="false" outlineLevel="0" collapsed="false">
      <c r="A250" s="0" t="n">
        <v>249</v>
      </c>
      <c r="B250" s="0" t="s">
        <v>114</v>
      </c>
      <c r="C250" s="44" t="n">
        <f aca="false">INDEX(Projects!$B$2:$B$100,MATCH(B250,Projects!$A$2:$A$100,0))</f>
        <v>46218</v>
      </c>
      <c r="D250" s="0" t="n">
        <v>29</v>
      </c>
      <c r="E250" s="0" t="s">
        <v>60</v>
      </c>
      <c r="F250" s="0" t="s">
        <v>59</v>
      </c>
      <c r="H250" s="0" t="s">
        <v>51</v>
      </c>
      <c r="I250" s="45" t="str">
        <f aca="false">B250&amp;"|"&amp;E250</f>
        <v>IW15|Painting Primer</v>
      </c>
      <c r="J250" s="45" t="str">
        <f aca="false">IF(H250="","",B250&amp;"|"&amp;H250)</f>
        <v>IW15|Sheetrock</v>
      </c>
      <c r="K250" s="46" t="n">
        <v>3</v>
      </c>
      <c r="L250" s="47" t="n">
        <f aca="false">IF(H250="",C250,WORKDAY(INDEX($O$2:$O$2000,MATCH(J250,$I$2:$I$2000,0)),1))</f>
        <v>46357</v>
      </c>
      <c r="M250" s="47" t="str">
        <f aca="false">IF(G250="","",IFERROR(maxifs($O$2:O249,$G$2:G249,G250),""))</f>
        <v/>
      </c>
      <c r="N250" s="47" t="n">
        <f aca="false">IF(G250="",L250,MAX(L250,IF(M250="",L250,WORKDAY(M250,1))))</f>
        <v>46357</v>
      </c>
      <c r="O250" s="47" t="n">
        <f aca="false">WORKDAY(N250,K250-1)</f>
        <v>46359</v>
      </c>
      <c r="P250" s="45" t="n">
        <f aca="false">MAX(0,NETWORKDAYS(L250,N250)-1)</f>
        <v>0</v>
      </c>
      <c r="Q250" s="45" t="str">
        <f aca="false">IF(P250&gt;0,"BOTTLENECK DELAY","")</f>
        <v/>
      </c>
    </row>
    <row r="251" customFormat="false" ht="15" hidden="false" customHeight="false" outlineLevel="0" collapsed="false">
      <c r="A251" s="0" t="n">
        <v>250</v>
      </c>
      <c r="B251" s="0" t="s">
        <v>114</v>
      </c>
      <c r="C251" s="44" t="n">
        <f aca="false">INDEX(Projects!$B$2:$B$100,MATCH(B251,Projects!$A$2:$A$100,0))</f>
        <v>46218</v>
      </c>
      <c r="D251" s="0" t="n">
        <v>30</v>
      </c>
      <c r="E251" s="0" t="s">
        <v>53</v>
      </c>
      <c r="F251" s="0" t="s">
        <v>52</v>
      </c>
      <c r="H251" s="0" t="s">
        <v>60</v>
      </c>
      <c r="I251" s="45" t="str">
        <f aca="false">B251&amp;"|"&amp;E251</f>
        <v>IW15|Garage Doors</v>
      </c>
      <c r="J251" s="45" t="str">
        <f aca="false">IF(H251="","",B251&amp;"|"&amp;H251)</f>
        <v>IW15|Painting Primer</v>
      </c>
      <c r="K251" s="46" t="n">
        <v>2</v>
      </c>
      <c r="L251" s="47" t="n">
        <f aca="false">IF(H251="",C251,WORKDAY(INDEX($O$2:$O$2000,MATCH(J251,$I$2:$I$2000,0)),1))</f>
        <v>46360</v>
      </c>
      <c r="M251" s="47" t="str">
        <f aca="false">IF(G251="","",IFERROR(maxifs($O$2:O250,$G$2:G250,G251),""))</f>
        <v/>
      </c>
      <c r="N251" s="47" t="n">
        <f aca="false">IF(G251="",L251,MAX(L251,IF(M251="",L251,WORKDAY(M251,1))))</f>
        <v>46360</v>
      </c>
      <c r="O251" s="47" t="n">
        <f aca="false">WORKDAY(N251,K251-1)</f>
        <v>46363</v>
      </c>
      <c r="P251" s="45" t="n">
        <f aca="false">MAX(0,NETWORKDAYS(L251,N251)-1)</f>
        <v>0</v>
      </c>
      <c r="Q251" s="45" t="str">
        <f aca="false">IF(P251&gt;0,"BOTTLENECK DELAY","")</f>
        <v/>
      </c>
    </row>
    <row r="252" customFormat="false" ht="15" hidden="false" customHeight="false" outlineLevel="0" collapsed="false">
      <c r="A252" s="0" t="n">
        <v>251</v>
      </c>
      <c r="B252" s="0" t="s">
        <v>114</v>
      </c>
      <c r="C252" s="44" t="n">
        <f aca="false">INDEX(Projects!$B$2:$B$100,MATCH(B252,Projects!$A$2:$A$100,0))</f>
        <v>46218</v>
      </c>
      <c r="D252" s="0" t="n">
        <v>31</v>
      </c>
      <c r="E252" s="0" t="s">
        <v>44</v>
      </c>
      <c r="F252" s="0" t="s">
        <v>43</v>
      </c>
      <c r="H252" s="0" t="s">
        <v>60</v>
      </c>
      <c r="I252" s="45" t="str">
        <f aca="false">B252&amp;"|"&amp;E252</f>
        <v>IW15|Flooring</v>
      </c>
      <c r="J252" s="45" t="str">
        <f aca="false">IF(H252="","",B252&amp;"|"&amp;H252)</f>
        <v>IW15|Painting Primer</v>
      </c>
      <c r="K252" s="46" t="n">
        <v>5</v>
      </c>
      <c r="L252" s="47" t="n">
        <f aca="false">IF(H252="",C252,WORKDAY(INDEX($O$2:$O$2000,MATCH(J252,$I$2:$I$2000,0)),1))</f>
        <v>46360</v>
      </c>
      <c r="M252" s="47" t="str">
        <f aca="false">IF(G252="","",IFERROR(maxifs($O$2:O251,$G$2:G251,G252),""))</f>
        <v/>
      </c>
      <c r="N252" s="47" t="n">
        <f aca="false">IF(G252="",L252,MAX(L252,IF(M252="",L252,WORKDAY(M252,1))))</f>
        <v>46360</v>
      </c>
      <c r="O252" s="47" t="n">
        <f aca="false">WORKDAY(N252,K252-1)</f>
        <v>46366</v>
      </c>
      <c r="P252" s="45" t="n">
        <f aca="false">MAX(0,NETWORKDAYS(L252,N252)-1)</f>
        <v>0</v>
      </c>
      <c r="Q252" s="45" t="str">
        <f aca="false">IF(P252&gt;0,"BOTTLENECK DELAY","")</f>
        <v/>
      </c>
    </row>
    <row r="253" customFormat="false" ht="15" hidden="false" customHeight="false" outlineLevel="0" collapsed="false">
      <c r="A253" s="0" t="n">
        <v>252</v>
      </c>
      <c r="B253" s="0" t="s">
        <v>114</v>
      </c>
      <c r="C253" s="44" t="n">
        <f aca="false">INDEX(Projects!$B$2:$B$100,MATCH(B253,Projects!$A$2:$A$100,0))</f>
        <v>46218</v>
      </c>
      <c r="D253" s="0" t="n">
        <v>32</v>
      </c>
      <c r="E253" s="0" t="s">
        <v>45</v>
      </c>
      <c r="F253" s="0" t="s">
        <v>43</v>
      </c>
      <c r="H253" s="0" t="s">
        <v>60</v>
      </c>
      <c r="I253" s="45" t="str">
        <f aca="false">B253&amp;"|"&amp;E253</f>
        <v>IW15|Tile Work</v>
      </c>
      <c r="J253" s="45" t="str">
        <f aca="false">IF(H253="","",B253&amp;"|"&amp;H253)</f>
        <v>IW15|Painting Primer</v>
      </c>
      <c r="K253" s="46" t="n">
        <v>8</v>
      </c>
      <c r="L253" s="47" t="n">
        <f aca="false">IF(H253="",C253,WORKDAY(INDEX($O$2:$O$2000,MATCH(J253,$I$2:$I$2000,0)),1))</f>
        <v>46360</v>
      </c>
      <c r="M253" s="47" t="str">
        <f aca="false">IF(G253="","",IFERROR(maxifs($O$2:O252,$G$2:G252,G253),""))</f>
        <v/>
      </c>
      <c r="N253" s="47" t="n">
        <f aca="false">IF(G253="",L253,MAX(L253,IF(M253="",L253,WORKDAY(M253,1))))</f>
        <v>46360</v>
      </c>
      <c r="O253" s="47" t="n">
        <f aca="false">WORKDAY(N253,K253-1)</f>
        <v>46371</v>
      </c>
      <c r="P253" s="45" t="n">
        <f aca="false">MAX(0,NETWORKDAYS(L253,N253)-1)</f>
        <v>0</v>
      </c>
      <c r="Q253" s="45" t="str">
        <f aca="false">IF(P253&gt;0,"BOTTLENECK DELAY","")</f>
        <v/>
      </c>
    </row>
    <row r="254" customFormat="false" ht="15" hidden="false" customHeight="false" outlineLevel="0" collapsed="false">
      <c r="A254" s="0" t="n">
        <v>253</v>
      </c>
      <c r="B254" s="0" t="s">
        <v>114</v>
      </c>
      <c r="C254" s="44" t="n">
        <f aca="false">INDEX(Projects!$B$2:$B$100,MATCH(B254,Projects!$A$2:$A$100,0))</f>
        <v>46218</v>
      </c>
      <c r="D254" s="0" t="n">
        <v>33</v>
      </c>
      <c r="E254" s="0" t="s">
        <v>126</v>
      </c>
      <c r="F254" s="0" t="s">
        <v>56</v>
      </c>
      <c r="G254" s="0" t="s">
        <v>56</v>
      </c>
      <c r="H254" s="0" t="s">
        <v>44</v>
      </c>
      <c r="I254" s="45" t="str">
        <f aca="false">B254&amp;"|"&amp;E254</f>
        <v>IW15|Trim Interior</v>
      </c>
      <c r="J254" s="45" t="str">
        <f aca="false">IF(H254="","",B254&amp;"|"&amp;H254)</f>
        <v>IW15|Flooring</v>
      </c>
      <c r="K254" s="46" t="n">
        <v>20</v>
      </c>
      <c r="L254" s="47" t="n">
        <f aca="false">IF(H254="",C254,WORKDAY(INDEX($O$2:$O$2000,MATCH(J254,$I$2:$I$2000,0)),1))</f>
        <v>46367</v>
      </c>
      <c r="M254" s="47" t="str">
        <f aca="false">IF(G254="","",IFERROR(maxifs($O$2:O253,$G$2:G253,G254),""))</f>
        <v/>
      </c>
      <c r="N254" s="47" t="n">
        <f aca="false">IF(G254="",L254,MAX(L254,IF(M254="",L254,WORKDAY(M254,1))))</f>
        <v>46367</v>
      </c>
      <c r="O254" s="47" t="n">
        <f aca="false">WORKDAY(N254,K254-1)</f>
        <v>46394</v>
      </c>
      <c r="P254" s="45" t="n">
        <f aca="false">MAX(0,NETWORKDAYS(L254,N254)-1)</f>
        <v>0</v>
      </c>
      <c r="Q254" s="45" t="str">
        <f aca="false">IF(P254&gt;0,"BOTTLENECK DELAY","")</f>
        <v/>
      </c>
    </row>
    <row r="255" customFormat="false" ht="15" hidden="false" customHeight="false" outlineLevel="0" collapsed="false">
      <c r="A255" s="0" t="n">
        <v>254</v>
      </c>
      <c r="B255" s="0" t="s">
        <v>114</v>
      </c>
      <c r="C255" s="44" t="n">
        <f aca="false">INDEX(Projects!$B$2:$B$100,MATCH(B255,Projects!$A$2:$A$100,0))</f>
        <v>46218</v>
      </c>
      <c r="D255" s="0" t="n">
        <v>34</v>
      </c>
      <c r="E255" s="0" t="s">
        <v>58</v>
      </c>
      <c r="F255" s="0" t="s">
        <v>56</v>
      </c>
      <c r="G255" s="0" t="s">
        <v>56</v>
      </c>
      <c r="H255" s="0" t="s">
        <v>27</v>
      </c>
      <c r="I255" s="45" t="str">
        <f aca="false">B255&amp;"|"&amp;E255</f>
        <v>IW15|Trim Exterior</v>
      </c>
      <c r="J255" s="45" t="str">
        <f aca="false">IF(H255="","",B255&amp;"|"&amp;H255)</f>
        <v>IW15|Siding</v>
      </c>
      <c r="K255" s="46" t="n">
        <v>2</v>
      </c>
      <c r="L255" s="47" t="n">
        <f aca="false">IF(H255="",C255,WORKDAY(INDEX($O$2:$O$2000,MATCH(J255,$I$2:$I$2000,0)),1))</f>
        <v>46352</v>
      </c>
      <c r="M255" s="47" t="str">
        <f aca="false">IF(G255="","",IFERROR(maxifs($O$2:O254,$G$2:G254,G255),""))</f>
        <v/>
      </c>
      <c r="N255" s="47" t="n">
        <f aca="false">IF(G255="",L255,MAX(L255,IF(M255="",L255,WORKDAY(M255,1))))</f>
        <v>46352</v>
      </c>
      <c r="O255" s="47" t="n">
        <f aca="false">WORKDAY(N255,K255-1)</f>
        <v>46353</v>
      </c>
      <c r="P255" s="45" t="n">
        <f aca="false">MAX(0,NETWORKDAYS(L255,N255)-1)</f>
        <v>0</v>
      </c>
      <c r="Q255" s="45" t="str">
        <f aca="false">IF(P255&gt;0,"BOTTLENECK DELAY","")</f>
        <v/>
      </c>
    </row>
    <row r="256" customFormat="false" ht="15" hidden="false" customHeight="false" outlineLevel="0" collapsed="false">
      <c r="A256" s="0" t="n">
        <v>255</v>
      </c>
      <c r="B256" s="0" t="s">
        <v>114</v>
      </c>
      <c r="C256" s="44" t="n">
        <f aca="false">INDEX(Projects!$B$2:$B$100,MATCH(B256,Projects!$A$2:$A$100,0))</f>
        <v>46218</v>
      </c>
      <c r="D256" s="0" t="n">
        <v>35</v>
      </c>
      <c r="E256" s="0" t="s">
        <v>64</v>
      </c>
      <c r="F256" s="0" t="s">
        <v>63</v>
      </c>
      <c r="H256" s="0" t="s">
        <v>44</v>
      </c>
      <c r="I256" s="45" t="str">
        <f aca="false">B256&amp;"|"&amp;E256</f>
        <v>IW15|Cabinets</v>
      </c>
      <c r="J256" s="45" t="str">
        <f aca="false">IF(H256="","",B256&amp;"|"&amp;H256)</f>
        <v>IW15|Flooring</v>
      </c>
      <c r="K256" s="46" t="n">
        <v>3</v>
      </c>
      <c r="L256" s="47" t="n">
        <f aca="false">IF(H256="",C256,WORKDAY(INDEX($O$2:$O$2000,MATCH(J256,$I$2:$I$2000,0)),1))</f>
        <v>46367</v>
      </c>
      <c r="M256" s="47" t="str">
        <f aca="false">IF(G256="","",IFERROR(maxifs($O$2:O255,$G$2:G255,G256),""))</f>
        <v/>
      </c>
      <c r="N256" s="47" t="n">
        <f aca="false">IF(G256="",L256,MAX(L256,IF(M256="",L256,WORKDAY(M256,1))))</f>
        <v>46367</v>
      </c>
      <c r="O256" s="47" t="n">
        <f aca="false">WORKDAY(N256,K256-1)</f>
        <v>46371</v>
      </c>
      <c r="P256" s="45" t="n">
        <f aca="false">MAX(0,NETWORKDAYS(L256,N256)-1)</f>
        <v>0</v>
      </c>
      <c r="Q256" s="45" t="str">
        <f aca="false">IF(P256&gt;0,"BOTTLENECK DELAY","")</f>
        <v/>
      </c>
    </row>
    <row r="257" customFormat="false" ht="15" hidden="false" customHeight="false" outlineLevel="0" collapsed="false">
      <c r="A257" s="0" t="n">
        <v>256</v>
      </c>
      <c r="B257" s="0" t="s">
        <v>114</v>
      </c>
      <c r="C257" s="44" t="n">
        <f aca="false">INDEX(Projects!$B$2:$B$100,MATCH(B257,Projects!$A$2:$A$100,0))</f>
        <v>46218</v>
      </c>
      <c r="D257" s="0" t="n">
        <v>36</v>
      </c>
      <c r="E257" s="0" t="s">
        <v>66</v>
      </c>
      <c r="F257" s="0" t="s">
        <v>65</v>
      </c>
      <c r="H257" s="0" t="s">
        <v>64</v>
      </c>
      <c r="I257" s="45" t="str">
        <f aca="false">B257&amp;"|"&amp;E257</f>
        <v>IW15|Countertops</v>
      </c>
      <c r="J257" s="45" t="str">
        <f aca="false">IF(H257="","",B257&amp;"|"&amp;H257)</f>
        <v>IW15|Cabinets</v>
      </c>
      <c r="K257" s="46" t="n">
        <v>2</v>
      </c>
      <c r="L257" s="47" t="n">
        <f aca="false">IF(H257="",C257,WORKDAY(INDEX($O$2:$O$2000,MATCH(J257,$I$2:$I$2000,0)),1))</f>
        <v>46372</v>
      </c>
      <c r="M257" s="47" t="str">
        <f aca="false">IF(G257="","",IFERROR(maxifs($O$2:O256,$G$2:G256,G257),""))</f>
        <v/>
      </c>
      <c r="N257" s="47" t="n">
        <f aca="false">IF(G257="",L257,MAX(L257,IF(M257="",L257,WORKDAY(M257,1))))</f>
        <v>46372</v>
      </c>
      <c r="O257" s="47" t="n">
        <f aca="false">WORKDAY(N257,K257-1)</f>
        <v>46373</v>
      </c>
      <c r="P257" s="45" t="n">
        <f aca="false">MAX(0,NETWORKDAYS(L257,N257)-1)</f>
        <v>0</v>
      </c>
      <c r="Q257" s="45" t="str">
        <f aca="false">IF(P257&gt;0,"BOTTLENECK DELAY","")</f>
        <v/>
      </c>
    </row>
    <row r="258" customFormat="false" ht="15" hidden="false" customHeight="false" outlineLevel="0" collapsed="false">
      <c r="A258" s="0" t="n">
        <v>257</v>
      </c>
      <c r="B258" s="0" t="s">
        <v>114</v>
      </c>
      <c r="C258" s="44" t="n">
        <f aca="false">INDEX(Projects!$B$2:$B$100,MATCH(B258,Projects!$A$2:$A$100,0))</f>
        <v>46218</v>
      </c>
      <c r="D258" s="0" t="n">
        <v>37</v>
      </c>
      <c r="E258" s="0" t="s">
        <v>61</v>
      </c>
      <c r="F258" s="0" t="s">
        <v>59</v>
      </c>
      <c r="H258" s="0" t="s">
        <v>66</v>
      </c>
      <c r="I258" s="45" t="str">
        <f aca="false">B258&amp;"|"&amp;E258</f>
        <v>IW15|Painting Main</v>
      </c>
      <c r="J258" s="45" t="str">
        <f aca="false">IF(H258="","",B258&amp;"|"&amp;H258)</f>
        <v>IW15|Countertops</v>
      </c>
      <c r="K258" s="46" t="n">
        <v>10</v>
      </c>
      <c r="L258" s="47" t="n">
        <f aca="false">IF(H258="",C258,WORKDAY(INDEX($O$2:$O$2000,MATCH(J258,$I$2:$I$2000,0)),1))</f>
        <v>46374</v>
      </c>
      <c r="M258" s="47" t="str">
        <f aca="false">IF(G258="","",IFERROR(maxifs($O$2:O257,$G$2:G257,G258),""))</f>
        <v/>
      </c>
      <c r="N258" s="47" t="n">
        <f aca="false">IF(G258="",L258,MAX(L258,IF(M258="",L258,WORKDAY(M258,1))))</f>
        <v>46374</v>
      </c>
      <c r="O258" s="47" t="n">
        <f aca="false">WORKDAY(N258,K258-1)</f>
        <v>46387</v>
      </c>
      <c r="P258" s="45" t="n">
        <f aca="false">MAX(0,NETWORKDAYS(L258,N258)-1)</f>
        <v>0</v>
      </c>
      <c r="Q258" s="45" t="str">
        <f aca="false">IF(P258&gt;0,"BOTTLENECK DELAY","")</f>
        <v/>
      </c>
    </row>
    <row r="259" customFormat="false" ht="15" hidden="false" customHeight="false" outlineLevel="0" collapsed="false">
      <c r="A259" s="0" t="n">
        <v>258</v>
      </c>
      <c r="B259" s="0" t="s">
        <v>114</v>
      </c>
      <c r="C259" s="44" t="n">
        <f aca="false">INDEX(Projects!$B$2:$B$100,MATCH(B259,Projects!$A$2:$A$100,0))</f>
        <v>46218</v>
      </c>
      <c r="D259" s="0" t="n">
        <v>38</v>
      </c>
      <c r="E259" s="0" t="s">
        <v>34</v>
      </c>
      <c r="F259" s="0" t="s">
        <v>30</v>
      </c>
      <c r="H259" s="0" t="s">
        <v>66</v>
      </c>
      <c r="I259" s="45" t="str">
        <f aca="false">B259&amp;"|"&amp;E259</f>
        <v>IW15|Appliances</v>
      </c>
      <c r="J259" s="45" t="str">
        <f aca="false">IF(H259="","",B259&amp;"|"&amp;H259)</f>
        <v>IW15|Countertops</v>
      </c>
      <c r="K259" s="46" t="n">
        <v>2</v>
      </c>
      <c r="L259" s="47" t="n">
        <f aca="false">IF(H259="",C259,WORKDAY(INDEX($O$2:$O$2000,MATCH(J259,$I$2:$I$2000,0)),1))</f>
        <v>46374</v>
      </c>
      <c r="M259" s="47" t="str">
        <f aca="false">IF(G259="","",IFERROR(maxifs($O$2:O258,$G$2:G258,G259),""))</f>
        <v/>
      </c>
      <c r="N259" s="47" t="n">
        <f aca="false">IF(G259="",L259,MAX(L259,IF(M259="",L259,WORKDAY(M259,1))))</f>
        <v>46374</v>
      </c>
      <c r="O259" s="47" t="n">
        <f aca="false">WORKDAY(N259,K259-1)</f>
        <v>46377</v>
      </c>
      <c r="P259" s="45" t="n">
        <f aca="false">MAX(0,NETWORKDAYS(L259,N259)-1)</f>
        <v>0</v>
      </c>
      <c r="Q259" s="45" t="str">
        <f aca="false">IF(P259&gt;0,"BOTTLENECK DELAY","")</f>
        <v/>
      </c>
    </row>
    <row r="260" customFormat="false" ht="15" hidden="false" customHeight="false" outlineLevel="0" collapsed="false">
      <c r="A260" s="0" t="n">
        <v>259</v>
      </c>
      <c r="B260" s="0" t="s">
        <v>114</v>
      </c>
      <c r="C260" s="44" t="n">
        <f aca="false">INDEX(Projects!$B$2:$B$100,MATCH(B260,Projects!$A$2:$A$100,0))</f>
        <v>46218</v>
      </c>
      <c r="D260" s="0" t="n">
        <v>39</v>
      </c>
      <c r="E260" s="0" t="s">
        <v>38</v>
      </c>
      <c r="F260" s="0" t="s">
        <v>35</v>
      </c>
      <c r="H260" s="0" t="s">
        <v>61</v>
      </c>
      <c r="I260" s="45" t="str">
        <f aca="false">B260&amp;"|"&amp;E260</f>
        <v>IW15|HVAC Finish</v>
      </c>
      <c r="J260" s="45" t="str">
        <f aca="false">IF(H260="","",B260&amp;"|"&amp;H260)</f>
        <v>IW15|Painting Main</v>
      </c>
      <c r="K260" s="46" t="n">
        <v>2</v>
      </c>
      <c r="L260" s="47" t="n">
        <f aca="false">IF(H260="",C260,WORKDAY(INDEX($O$2:$O$2000,MATCH(J260,$I$2:$I$2000,0)),1))</f>
        <v>46388</v>
      </c>
      <c r="M260" s="47" t="str">
        <f aca="false">IF(G260="","",IFERROR(maxifs($O$2:O259,$G$2:G259,G260),""))</f>
        <v/>
      </c>
      <c r="N260" s="47" t="n">
        <f aca="false">IF(G260="",L260,MAX(L260,IF(M260="",L260,WORKDAY(M260,1))))</f>
        <v>46388</v>
      </c>
      <c r="O260" s="47" t="n">
        <f aca="false">WORKDAY(N260,K260-1)</f>
        <v>46391</v>
      </c>
      <c r="P260" s="45" t="n">
        <f aca="false">MAX(0,NETWORKDAYS(L260,N260)-1)</f>
        <v>0</v>
      </c>
      <c r="Q260" s="45" t="str">
        <f aca="false">IF(P260&gt;0,"BOTTLENECK DELAY","")</f>
        <v/>
      </c>
    </row>
    <row r="261" customFormat="false" ht="15" hidden="false" customHeight="false" outlineLevel="0" collapsed="false">
      <c r="A261" s="0" t="n">
        <v>260</v>
      </c>
      <c r="B261" s="0" t="s">
        <v>114</v>
      </c>
      <c r="C261" s="44" t="n">
        <f aca="false">INDEX(Projects!$B$2:$B$100,MATCH(B261,Projects!$A$2:$A$100,0))</f>
        <v>46218</v>
      </c>
      <c r="D261" s="0" t="n">
        <v>40</v>
      </c>
      <c r="E261" s="0" t="s">
        <v>42</v>
      </c>
      <c r="F261" s="0" t="s">
        <v>39</v>
      </c>
      <c r="G261" s="0" t="s">
        <v>39</v>
      </c>
      <c r="H261" s="0" t="s">
        <v>66</v>
      </c>
      <c r="I261" s="45" t="str">
        <f aca="false">B261&amp;"|"&amp;E261</f>
        <v>IW15|Plumbing Finish</v>
      </c>
      <c r="J261" s="45" t="str">
        <f aca="false">IF(H261="","",B261&amp;"|"&amp;H261)</f>
        <v>IW15|Countertops</v>
      </c>
      <c r="K261" s="46" t="n">
        <v>2</v>
      </c>
      <c r="L261" s="47" t="n">
        <f aca="false">IF(H261="",C261,WORKDAY(INDEX($O$2:$O$2000,MATCH(J261,$I$2:$I$2000,0)),1))</f>
        <v>46374</v>
      </c>
      <c r="M261" s="47" t="str">
        <f aca="false">IF(G261="","",IFERROR(maxifs($O$2:O260,$G$2:G260,G261),""))</f>
        <v/>
      </c>
      <c r="N261" s="47" t="n">
        <f aca="false">IF(G261="",L261,MAX(L261,IF(M261="",L261,WORKDAY(M261,1))))</f>
        <v>46374</v>
      </c>
      <c r="O261" s="47" t="n">
        <f aca="false">WORKDAY(N261,K261-1)</f>
        <v>46377</v>
      </c>
      <c r="P261" s="45" t="n">
        <f aca="false">MAX(0,NETWORKDAYS(L261,N261)-1)</f>
        <v>0</v>
      </c>
      <c r="Q261" s="45" t="str">
        <f aca="false">IF(P261&gt;0,"BOTTLENECK DELAY","")</f>
        <v/>
      </c>
    </row>
    <row r="262" customFormat="false" ht="15" hidden="false" customHeight="false" outlineLevel="0" collapsed="false">
      <c r="A262" s="0" t="n">
        <v>261</v>
      </c>
      <c r="B262" s="0" t="s">
        <v>114</v>
      </c>
      <c r="C262" s="44" t="n">
        <f aca="false">INDEX(Projects!$B$2:$B$100,MATCH(B262,Projects!$A$2:$A$100,0))</f>
        <v>46218</v>
      </c>
      <c r="D262" s="0" t="n">
        <v>41</v>
      </c>
      <c r="E262" s="0" t="s">
        <v>33</v>
      </c>
      <c r="F262" s="0" t="s">
        <v>30</v>
      </c>
      <c r="H262" s="0" t="s">
        <v>61</v>
      </c>
      <c r="I262" s="45" t="str">
        <f aca="false">B262&amp;"|"&amp;E262</f>
        <v>IW15|Electrical Finish</v>
      </c>
      <c r="J262" s="45" t="str">
        <f aca="false">IF(H262="","",B262&amp;"|"&amp;H262)</f>
        <v>IW15|Painting Main</v>
      </c>
      <c r="K262" s="46" t="n">
        <v>4</v>
      </c>
      <c r="L262" s="47" t="n">
        <f aca="false">IF(H262="",C262,WORKDAY(INDEX($O$2:$O$2000,MATCH(J262,$I$2:$I$2000,0)),1))</f>
        <v>46388</v>
      </c>
      <c r="M262" s="47" t="str">
        <f aca="false">IF(G262="","",IFERROR(maxifs($O$2:O261,$G$2:G261,G262),""))</f>
        <v/>
      </c>
      <c r="N262" s="47" t="n">
        <f aca="false">IF(G262="",L262,MAX(L262,IF(M262="",L262,WORKDAY(M262,1))))</f>
        <v>46388</v>
      </c>
      <c r="O262" s="47" t="n">
        <f aca="false">WORKDAY(N262,K262-1)</f>
        <v>46393</v>
      </c>
      <c r="P262" s="45" t="n">
        <f aca="false">MAX(0,NETWORKDAYS(L262,N262)-1)</f>
        <v>0</v>
      </c>
      <c r="Q262" s="45" t="str">
        <f aca="false">IF(P262&gt;0,"BOTTLENECK DELAY","")</f>
        <v/>
      </c>
    </row>
    <row r="263" customFormat="false" ht="15" hidden="false" customHeight="false" outlineLevel="0" collapsed="false">
      <c r="A263" s="0" t="n">
        <v>262</v>
      </c>
      <c r="B263" s="0" t="s">
        <v>114</v>
      </c>
      <c r="C263" s="44" t="n">
        <f aca="false">INDEX(Projects!$B$2:$B$100,MATCH(B263,Projects!$A$2:$A$100,0))</f>
        <v>46218</v>
      </c>
      <c r="D263" s="0" t="n">
        <v>42</v>
      </c>
      <c r="E263" s="0" t="s">
        <v>49</v>
      </c>
      <c r="F263" s="0" t="s">
        <v>46</v>
      </c>
      <c r="H263" s="0" t="s">
        <v>33</v>
      </c>
      <c r="I263" s="45" t="str">
        <f aca="false">B263&amp;"|"&amp;E263</f>
        <v>IW15|Insulation Ceiling</v>
      </c>
      <c r="J263" s="45" t="str">
        <f aca="false">IF(H263="","",B263&amp;"|"&amp;H263)</f>
        <v>IW15|Electrical Finish</v>
      </c>
      <c r="K263" s="46" t="n">
        <v>2</v>
      </c>
      <c r="L263" s="47" t="n">
        <f aca="false">IF(H263="",C263,WORKDAY(INDEX($O$2:$O$2000,MATCH(J263,$I$2:$I$2000,0)),1))</f>
        <v>46394</v>
      </c>
      <c r="M263" s="47" t="str">
        <f aca="false">IF(G263="","",IFERROR(maxifs($O$2:O262,$G$2:G262,G263),""))</f>
        <v/>
      </c>
      <c r="N263" s="47" t="n">
        <f aca="false">IF(G263="",L263,MAX(L263,IF(M263="",L263,WORKDAY(M263,1))))</f>
        <v>46394</v>
      </c>
      <c r="O263" s="47" t="n">
        <f aca="false">WORKDAY(N263,K263-1)</f>
        <v>46395</v>
      </c>
      <c r="P263" s="45" t="n">
        <f aca="false">MAX(0,NETWORKDAYS(L263,N263)-1)</f>
        <v>0</v>
      </c>
      <c r="Q263" s="45" t="str">
        <f aca="false">IF(P263&gt;0,"BOTTLENECK DELAY","")</f>
        <v/>
      </c>
    </row>
    <row r="264" customFormat="false" ht="15" hidden="false" customHeight="false" outlineLevel="0" collapsed="false">
      <c r="A264" s="0" t="n">
        <v>263</v>
      </c>
      <c r="B264" s="0" t="s">
        <v>114</v>
      </c>
      <c r="C264" s="44" t="n">
        <f aca="false">INDEX(Projects!$B$2:$B$100,MATCH(B264,Projects!$A$2:$A$100,0))</f>
        <v>46218</v>
      </c>
      <c r="D264" s="0" t="n">
        <v>43</v>
      </c>
      <c r="E264" s="0" t="s">
        <v>62</v>
      </c>
      <c r="F264" s="0" t="s">
        <v>59</v>
      </c>
      <c r="H264" s="0" t="s">
        <v>33</v>
      </c>
      <c r="I264" s="45" t="str">
        <f aca="false">B264&amp;"|"&amp;E264</f>
        <v>IW15|Painting Finish</v>
      </c>
      <c r="J264" s="45" t="str">
        <f aca="false">IF(H264="","",B264&amp;"|"&amp;H264)</f>
        <v>IW15|Electrical Finish</v>
      </c>
      <c r="K264" s="46" t="n">
        <v>5</v>
      </c>
      <c r="L264" s="47" t="n">
        <f aca="false">IF(H264="",C264,WORKDAY(INDEX($O$2:$O$2000,MATCH(J264,$I$2:$I$2000,0)),1))</f>
        <v>46394</v>
      </c>
      <c r="M264" s="47" t="str">
        <f aca="false">IF(G264="","",IFERROR(maxifs($O$2:O263,$G$2:G263,G264),""))</f>
        <v/>
      </c>
      <c r="N264" s="47" t="n">
        <f aca="false">IF(G264="",L264,MAX(L264,IF(M264="",L264,WORKDAY(M264,1))))</f>
        <v>46394</v>
      </c>
      <c r="O264" s="47" t="n">
        <f aca="false">WORKDAY(N264,K264-1)</f>
        <v>46400</v>
      </c>
      <c r="P264" s="45" t="n">
        <f aca="false">MAX(0,NETWORKDAYS(L264,N264)-1)</f>
        <v>0</v>
      </c>
      <c r="Q264" s="45" t="str">
        <f aca="false">IF(P264&gt;0,"BOTTLENECK DELAY","")</f>
        <v/>
      </c>
    </row>
    <row r="265" customFormat="false" ht="15" hidden="false" customHeight="false" outlineLevel="0" collapsed="false">
      <c r="A265" s="0" t="n">
        <v>264</v>
      </c>
      <c r="B265" s="0" t="s">
        <v>114</v>
      </c>
      <c r="C265" s="44" t="n">
        <f aca="false">INDEX(Projects!$B$2:$B$100,MATCH(B265,Projects!$A$2:$A$100,0))</f>
        <v>46218</v>
      </c>
      <c r="D265" s="0" t="n">
        <v>44</v>
      </c>
      <c r="E265" s="0" t="s">
        <v>79</v>
      </c>
      <c r="F265" s="0" t="s">
        <v>78</v>
      </c>
      <c r="H265" s="0" t="s">
        <v>62</v>
      </c>
      <c r="I265" s="45" t="str">
        <f aca="false">B265&amp;"|"&amp;E265</f>
        <v>IW15|Cleaning</v>
      </c>
      <c r="J265" s="45" t="str">
        <f aca="false">IF(H265="","",B265&amp;"|"&amp;H265)</f>
        <v>IW15|Painting Finish</v>
      </c>
      <c r="K265" s="46" t="n">
        <v>3</v>
      </c>
      <c r="L265" s="47" t="n">
        <f aca="false">IF(H265="",C265,WORKDAY(INDEX($O$2:$O$2000,MATCH(J265,$I$2:$I$2000,0)),1))</f>
        <v>46401</v>
      </c>
      <c r="M265" s="47" t="str">
        <f aca="false">IF(G265="","",IFERROR(maxifs($O$2:O264,$G$2:G264,G265),""))</f>
        <v/>
      </c>
      <c r="N265" s="47" t="n">
        <f aca="false">IF(G265="",L265,MAX(L265,IF(M265="",L265,WORKDAY(M265,1))))</f>
        <v>46401</v>
      </c>
      <c r="O265" s="47" t="n">
        <f aca="false">WORKDAY(N265,K265-1)</f>
        <v>46405</v>
      </c>
      <c r="P265" s="45" t="n">
        <f aca="false">MAX(0,NETWORKDAYS(L265,N265)-1)</f>
        <v>0</v>
      </c>
      <c r="Q265" s="45" t="str">
        <f aca="false">IF(P265&gt;0,"BOTTLENECK DELAY","")</f>
        <v/>
      </c>
    </row>
  </sheetData>
  <conditionalFormatting sqref="Q2:Q265">
    <cfRule type="cellIs" priority="2" operator="equal" aboveAverage="0" equalAverage="0" bottom="0" percent="0" rank="0" text="" dxfId="26">
      <formula>"BOTTLENECK DELAY"</formula>
    </cfRule>
  </conditionalFormatting>
  <conditionalFormatting sqref="P2:P265">
    <cfRule type="cellIs" priority="3" operator="greaterThan" aboveAverage="0" equalAverage="0" bottom="0" percent="0" rank="0" text="" dxfId="2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T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11"/>
    <col collapsed="false" customWidth="true" hidden="false" outlineLevel="0" max="8" min="7" style="0" width="8"/>
    <col collapsed="false" customWidth="true" hidden="false" outlineLevel="0" max="228" min="9" style="0" width="3"/>
  </cols>
  <sheetData>
    <row r="1" customFormat="false" ht="32.8" hidden="false" customHeight="false" outlineLevel="0" collapsed="false">
      <c r="A1" s="40" t="s">
        <v>87</v>
      </c>
      <c r="B1" s="40" t="s">
        <v>116</v>
      </c>
      <c r="C1" s="40" t="s">
        <v>88</v>
      </c>
      <c r="D1" s="40" t="s">
        <v>119</v>
      </c>
      <c r="E1" s="40" t="s">
        <v>138</v>
      </c>
      <c r="F1" s="40" t="s">
        <v>139</v>
      </c>
      <c r="G1" s="40" t="s">
        <v>131</v>
      </c>
      <c r="H1" s="40" t="s">
        <v>140</v>
      </c>
      <c r="I1" s="48" t="n">
        <v>46113</v>
      </c>
      <c r="J1" s="48" t="n">
        <v>46114</v>
      </c>
      <c r="K1" s="48" t="n">
        <v>46115</v>
      </c>
      <c r="L1" s="49" t="n">
        <v>46116</v>
      </c>
      <c r="M1" s="49" t="n">
        <v>46117</v>
      </c>
      <c r="N1" s="48" t="n">
        <v>46118</v>
      </c>
      <c r="O1" s="48" t="n">
        <v>46119</v>
      </c>
      <c r="P1" s="48" t="n">
        <v>46120</v>
      </c>
      <c r="Q1" s="48" t="n">
        <v>46121</v>
      </c>
      <c r="R1" s="48" t="n">
        <v>46122</v>
      </c>
      <c r="S1" s="49" t="n">
        <v>46123</v>
      </c>
      <c r="T1" s="49" t="n">
        <v>46124</v>
      </c>
      <c r="U1" s="48" t="n">
        <v>46125</v>
      </c>
      <c r="V1" s="48" t="n">
        <v>46126</v>
      </c>
      <c r="W1" s="48" t="n">
        <v>46127</v>
      </c>
      <c r="X1" s="48" t="n">
        <v>46128</v>
      </c>
      <c r="Y1" s="48" t="n">
        <v>46129</v>
      </c>
      <c r="Z1" s="49" t="n">
        <v>46130</v>
      </c>
      <c r="AA1" s="49" t="n">
        <v>46131</v>
      </c>
      <c r="AB1" s="48" t="n">
        <v>46132</v>
      </c>
      <c r="AC1" s="48" t="n">
        <v>46133</v>
      </c>
      <c r="AD1" s="48" t="n">
        <v>46134</v>
      </c>
      <c r="AE1" s="48" t="n">
        <v>46135</v>
      </c>
      <c r="AF1" s="48" t="n">
        <v>46136</v>
      </c>
      <c r="AG1" s="49" t="n">
        <v>46137</v>
      </c>
      <c r="AH1" s="49" t="n">
        <v>46138</v>
      </c>
      <c r="AI1" s="48" t="n">
        <v>46139</v>
      </c>
      <c r="AJ1" s="48" t="n">
        <v>46140</v>
      </c>
      <c r="AK1" s="48" t="n">
        <v>46141</v>
      </c>
      <c r="AL1" s="48" t="n">
        <v>46142</v>
      </c>
      <c r="AM1" s="48" t="n">
        <v>46143</v>
      </c>
      <c r="AN1" s="49" t="n">
        <v>46144</v>
      </c>
      <c r="AO1" s="49" t="n">
        <v>46145</v>
      </c>
      <c r="AP1" s="48" t="n">
        <v>46146</v>
      </c>
      <c r="AQ1" s="48" t="n">
        <v>46147</v>
      </c>
      <c r="AR1" s="48" t="n">
        <v>46148</v>
      </c>
      <c r="AS1" s="48" t="n">
        <v>46149</v>
      </c>
      <c r="AT1" s="48" t="n">
        <v>46150</v>
      </c>
      <c r="AU1" s="49" t="n">
        <v>46151</v>
      </c>
      <c r="AV1" s="49" t="n">
        <v>46152</v>
      </c>
      <c r="AW1" s="48" t="n">
        <v>46153</v>
      </c>
      <c r="AX1" s="48" t="n">
        <v>46154</v>
      </c>
      <c r="AY1" s="48" t="n">
        <v>46155</v>
      </c>
      <c r="AZ1" s="48" t="n">
        <v>46156</v>
      </c>
      <c r="BA1" s="48" t="n">
        <v>46157</v>
      </c>
      <c r="BB1" s="49" t="n">
        <v>46158</v>
      </c>
      <c r="BC1" s="49" t="n">
        <v>46159</v>
      </c>
      <c r="BD1" s="48" t="n">
        <v>46160</v>
      </c>
      <c r="BE1" s="48" t="n">
        <v>46161</v>
      </c>
      <c r="BF1" s="48" t="n">
        <v>46162</v>
      </c>
      <c r="BG1" s="48" t="n">
        <v>46163</v>
      </c>
      <c r="BH1" s="48" t="n">
        <v>46164</v>
      </c>
      <c r="BI1" s="49" t="n">
        <v>46165</v>
      </c>
      <c r="BJ1" s="49" t="n">
        <v>46166</v>
      </c>
      <c r="BK1" s="48" t="n">
        <v>46167</v>
      </c>
      <c r="BL1" s="48" t="n">
        <v>46168</v>
      </c>
      <c r="BM1" s="48" t="n">
        <v>46169</v>
      </c>
      <c r="BN1" s="48" t="n">
        <v>46170</v>
      </c>
      <c r="BO1" s="48" t="n">
        <v>46171</v>
      </c>
      <c r="BP1" s="49" t="n">
        <v>46172</v>
      </c>
      <c r="BQ1" s="49" t="n">
        <v>46173</v>
      </c>
      <c r="BR1" s="48" t="n">
        <v>46174</v>
      </c>
      <c r="BS1" s="48" t="n">
        <v>46175</v>
      </c>
      <c r="BT1" s="48" t="n">
        <v>46176</v>
      </c>
      <c r="BU1" s="48" t="n">
        <v>46177</v>
      </c>
      <c r="BV1" s="48" t="n">
        <v>46178</v>
      </c>
      <c r="BW1" s="49" t="n">
        <v>46179</v>
      </c>
      <c r="BX1" s="49" t="n">
        <v>46180</v>
      </c>
      <c r="BY1" s="48" t="n">
        <v>46181</v>
      </c>
      <c r="BZ1" s="48" t="n">
        <v>46182</v>
      </c>
      <c r="CA1" s="48" t="n">
        <v>46183</v>
      </c>
      <c r="CB1" s="48" t="n">
        <v>46184</v>
      </c>
      <c r="CC1" s="48" t="n">
        <v>46185</v>
      </c>
      <c r="CD1" s="49" t="n">
        <v>46186</v>
      </c>
      <c r="CE1" s="49" t="n">
        <v>46187</v>
      </c>
      <c r="CF1" s="48" t="n">
        <v>46188</v>
      </c>
      <c r="CG1" s="48" t="n">
        <v>46189</v>
      </c>
      <c r="CH1" s="48" t="n">
        <v>46190</v>
      </c>
      <c r="CI1" s="48" t="n">
        <v>46191</v>
      </c>
      <c r="CJ1" s="48" t="n">
        <v>46192</v>
      </c>
      <c r="CK1" s="49" t="n">
        <v>46193</v>
      </c>
      <c r="CL1" s="49" t="n">
        <v>46194</v>
      </c>
      <c r="CM1" s="48" t="n">
        <v>46195</v>
      </c>
      <c r="CN1" s="48" t="n">
        <v>46196</v>
      </c>
      <c r="CO1" s="48" t="n">
        <v>46197</v>
      </c>
      <c r="CP1" s="48" t="n">
        <v>46198</v>
      </c>
      <c r="CQ1" s="48" t="n">
        <v>46199</v>
      </c>
      <c r="CR1" s="49" t="n">
        <v>46200</v>
      </c>
      <c r="CS1" s="49" t="n">
        <v>46201</v>
      </c>
      <c r="CT1" s="48" t="n">
        <v>46202</v>
      </c>
      <c r="CU1" s="48" t="n">
        <v>46203</v>
      </c>
      <c r="CV1" s="48" t="n">
        <v>46204</v>
      </c>
      <c r="CW1" s="48" t="n">
        <v>46205</v>
      </c>
      <c r="CX1" s="48" t="n">
        <v>46206</v>
      </c>
      <c r="CY1" s="49" t="n">
        <v>46207</v>
      </c>
      <c r="CZ1" s="49" t="n">
        <v>46208</v>
      </c>
      <c r="DA1" s="48" t="n">
        <v>46209</v>
      </c>
      <c r="DB1" s="48" t="n">
        <v>46210</v>
      </c>
      <c r="DC1" s="48" t="n">
        <v>46211</v>
      </c>
      <c r="DD1" s="48" t="n">
        <v>46212</v>
      </c>
      <c r="DE1" s="48" t="n">
        <v>46213</v>
      </c>
      <c r="DF1" s="49" t="n">
        <v>46214</v>
      </c>
      <c r="DG1" s="49" t="n">
        <v>46215</v>
      </c>
      <c r="DH1" s="48" t="n">
        <v>46216</v>
      </c>
      <c r="DI1" s="48" t="n">
        <v>46217</v>
      </c>
      <c r="DJ1" s="48" t="n">
        <v>46218</v>
      </c>
      <c r="DK1" s="48" t="n">
        <v>46219</v>
      </c>
      <c r="DL1" s="48" t="n">
        <v>46220</v>
      </c>
      <c r="DM1" s="49" t="n">
        <v>46221</v>
      </c>
      <c r="DN1" s="49" t="n">
        <v>46222</v>
      </c>
      <c r="DO1" s="48" t="n">
        <v>46223</v>
      </c>
      <c r="DP1" s="48" t="n">
        <v>46224</v>
      </c>
      <c r="DQ1" s="48" t="n">
        <v>46225</v>
      </c>
      <c r="DR1" s="48" t="n">
        <v>46226</v>
      </c>
      <c r="DS1" s="48" t="n">
        <v>46227</v>
      </c>
      <c r="DT1" s="49" t="n">
        <v>46228</v>
      </c>
      <c r="DU1" s="49" t="n">
        <v>46229</v>
      </c>
      <c r="DV1" s="48" t="n">
        <v>46230</v>
      </c>
      <c r="DW1" s="48" t="n">
        <v>46231</v>
      </c>
      <c r="DX1" s="48" t="n">
        <v>46232</v>
      </c>
      <c r="DY1" s="48" t="n">
        <v>46233</v>
      </c>
      <c r="DZ1" s="48" t="n">
        <v>46234</v>
      </c>
      <c r="EA1" s="49" t="n">
        <v>46235</v>
      </c>
      <c r="EB1" s="49" t="n">
        <v>46236</v>
      </c>
      <c r="EC1" s="48" t="n">
        <v>46237</v>
      </c>
      <c r="ED1" s="48" t="n">
        <v>46238</v>
      </c>
      <c r="EE1" s="48" t="n">
        <v>46239</v>
      </c>
      <c r="EF1" s="48" t="n">
        <v>46240</v>
      </c>
      <c r="EG1" s="48" t="n">
        <v>46241</v>
      </c>
      <c r="EH1" s="49" t="n">
        <v>46242</v>
      </c>
      <c r="EI1" s="49" t="n">
        <v>46243</v>
      </c>
      <c r="EJ1" s="48" t="n">
        <v>46244</v>
      </c>
      <c r="EK1" s="48" t="n">
        <v>46245</v>
      </c>
      <c r="EL1" s="48" t="n">
        <v>46246</v>
      </c>
      <c r="EM1" s="48" t="n">
        <v>46247</v>
      </c>
      <c r="EN1" s="48" t="n">
        <v>46248</v>
      </c>
      <c r="EO1" s="49" t="n">
        <v>46249</v>
      </c>
      <c r="EP1" s="49" t="n">
        <v>46250</v>
      </c>
      <c r="EQ1" s="48" t="n">
        <v>46251</v>
      </c>
      <c r="ER1" s="48" t="n">
        <v>46252</v>
      </c>
      <c r="ES1" s="48" t="n">
        <v>46253</v>
      </c>
      <c r="ET1" s="48" t="n">
        <v>46254</v>
      </c>
      <c r="EU1" s="48" t="n">
        <v>46255</v>
      </c>
      <c r="EV1" s="49" t="n">
        <v>46256</v>
      </c>
      <c r="EW1" s="49" t="n">
        <v>46257</v>
      </c>
      <c r="EX1" s="48" t="n">
        <v>46258</v>
      </c>
      <c r="EY1" s="48" t="n">
        <v>46259</v>
      </c>
      <c r="EZ1" s="48" t="n">
        <v>46260</v>
      </c>
      <c r="FA1" s="48" t="n">
        <v>46261</v>
      </c>
      <c r="FB1" s="48" t="n">
        <v>46262</v>
      </c>
      <c r="FC1" s="49" t="n">
        <v>46263</v>
      </c>
      <c r="FD1" s="49" t="n">
        <v>46264</v>
      </c>
      <c r="FE1" s="48" t="n">
        <v>46265</v>
      </c>
      <c r="FF1" s="48" t="n">
        <v>46266</v>
      </c>
      <c r="FG1" s="48" t="n">
        <v>46267</v>
      </c>
      <c r="FH1" s="48" t="n">
        <v>46268</v>
      </c>
      <c r="FI1" s="48" t="n">
        <v>46269</v>
      </c>
      <c r="FJ1" s="49" t="n">
        <v>46270</v>
      </c>
      <c r="FK1" s="49" t="n">
        <v>46271</v>
      </c>
      <c r="FL1" s="48" t="n">
        <v>46272</v>
      </c>
      <c r="FM1" s="48" t="n">
        <v>46273</v>
      </c>
      <c r="FN1" s="48" t="n">
        <v>46274</v>
      </c>
      <c r="FO1" s="48" t="n">
        <v>46275</v>
      </c>
      <c r="FP1" s="48" t="n">
        <v>46276</v>
      </c>
      <c r="FQ1" s="49" t="n">
        <v>46277</v>
      </c>
      <c r="FR1" s="49" t="n">
        <v>46278</v>
      </c>
      <c r="FS1" s="48" t="n">
        <v>46279</v>
      </c>
      <c r="FT1" s="48" t="n">
        <v>46280</v>
      </c>
      <c r="FU1" s="48" t="n">
        <v>46281</v>
      </c>
      <c r="FV1" s="48" t="n">
        <v>46282</v>
      </c>
      <c r="FW1" s="48" t="n">
        <v>46283</v>
      </c>
      <c r="FX1" s="49" t="n">
        <v>46284</v>
      </c>
      <c r="FY1" s="49" t="n">
        <v>46285</v>
      </c>
      <c r="FZ1" s="48" t="n">
        <v>46286</v>
      </c>
      <c r="GA1" s="48" t="n">
        <v>46287</v>
      </c>
      <c r="GB1" s="48" t="n">
        <v>46288</v>
      </c>
      <c r="GC1" s="48" t="n">
        <v>46289</v>
      </c>
      <c r="GD1" s="48" t="n">
        <v>46290</v>
      </c>
      <c r="GE1" s="49" t="n">
        <v>46291</v>
      </c>
      <c r="GF1" s="49" t="n">
        <v>46292</v>
      </c>
      <c r="GG1" s="48" t="n">
        <v>46293</v>
      </c>
      <c r="GH1" s="48" t="n">
        <v>46294</v>
      </c>
      <c r="GI1" s="48" t="n">
        <v>46295</v>
      </c>
      <c r="GJ1" s="48" t="n">
        <v>46296</v>
      </c>
      <c r="GK1" s="48" t="n">
        <v>46297</v>
      </c>
      <c r="GL1" s="49" t="n">
        <v>46298</v>
      </c>
      <c r="GM1" s="49" t="n">
        <v>46299</v>
      </c>
      <c r="GN1" s="48" t="n">
        <v>46300</v>
      </c>
      <c r="GO1" s="48" t="n">
        <v>46301</v>
      </c>
      <c r="GP1" s="48" t="n">
        <v>46302</v>
      </c>
      <c r="GQ1" s="48" t="n">
        <v>46303</v>
      </c>
      <c r="GR1" s="48" t="n">
        <v>46304</v>
      </c>
      <c r="GS1" s="49" t="n">
        <v>46305</v>
      </c>
      <c r="GT1" s="49" t="n">
        <v>46306</v>
      </c>
      <c r="GU1" s="48" t="n">
        <v>46307</v>
      </c>
      <c r="GV1" s="48" t="n">
        <v>46308</v>
      </c>
      <c r="GW1" s="48" t="n">
        <v>46309</v>
      </c>
      <c r="GX1" s="48" t="n">
        <v>46310</v>
      </c>
      <c r="GY1" s="48" t="n">
        <v>46311</v>
      </c>
      <c r="GZ1" s="49" t="n">
        <v>46312</v>
      </c>
      <c r="HA1" s="49" t="n">
        <v>46313</v>
      </c>
      <c r="HB1" s="48" t="n">
        <v>46314</v>
      </c>
      <c r="HC1" s="48" t="n">
        <v>46315</v>
      </c>
      <c r="HD1" s="48" t="n">
        <v>46316</v>
      </c>
      <c r="HE1" s="48" t="n">
        <v>46317</v>
      </c>
      <c r="HF1" s="48" t="n">
        <v>46318</v>
      </c>
      <c r="HG1" s="49" t="n">
        <v>46319</v>
      </c>
      <c r="HH1" s="49" t="n">
        <v>46320</v>
      </c>
      <c r="HI1" s="48" t="n">
        <v>46321</v>
      </c>
      <c r="HJ1" s="48" t="n">
        <v>46322</v>
      </c>
      <c r="HK1" s="48" t="n">
        <v>46323</v>
      </c>
      <c r="HL1" s="48" t="n">
        <v>46324</v>
      </c>
      <c r="HM1" s="48" t="n">
        <v>46325</v>
      </c>
      <c r="HN1" s="49" t="n">
        <v>46326</v>
      </c>
      <c r="HO1" s="49" t="n">
        <v>46327</v>
      </c>
      <c r="HP1" s="48" t="n">
        <v>46328</v>
      </c>
      <c r="HQ1" s="48" t="n">
        <v>46329</v>
      </c>
      <c r="HR1" s="48" t="n">
        <v>46330</v>
      </c>
      <c r="HS1" s="48" t="n">
        <v>46331</v>
      </c>
      <c r="HT1" s="48" t="n">
        <v>46332</v>
      </c>
    </row>
    <row r="2" customFormat="false" ht="15" hidden="false" customHeight="false" outlineLevel="0" collapsed="false">
      <c r="I2" s="26" t="s">
        <v>83</v>
      </c>
      <c r="J2" s="26" t="s">
        <v>82</v>
      </c>
      <c r="K2" s="26" t="s">
        <v>85</v>
      </c>
      <c r="L2" s="50" t="s">
        <v>86</v>
      </c>
      <c r="M2" s="50" t="s">
        <v>86</v>
      </c>
      <c r="N2" s="26" t="s">
        <v>81</v>
      </c>
      <c r="O2" s="26" t="s">
        <v>82</v>
      </c>
      <c r="P2" s="26" t="s">
        <v>83</v>
      </c>
      <c r="Q2" s="26" t="s">
        <v>82</v>
      </c>
      <c r="R2" s="26" t="s">
        <v>85</v>
      </c>
      <c r="S2" s="50" t="s">
        <v>86</v>
      </c>
      <c r="T2" s="50" t="s">
        <v>86</v>
      </c>
      <c r="U2" s="26" t="s">
        <v>81</v>
      </c>
      <c r="V2" s="26" t="s">
        <v>82</v>
      </c>
      <c r="W2" s="26" t="s">
        <v>83</v>
      </c>
      <c r="X2" s="26" t="s">
        <v>82</v>
      </c>
      <c r="Y2" s="26" t="s">
        <v>85</v>
      </c>
      <c r="Z2" s="50" t="s">
        <v>86</v>
      </c>
      <c r="AA2" s="50" t="s">
        <v>86</v>
      </c>
      <c r="AB2" s="26" t="s">
        <v>81</v>
      </c>
      <c r="AC2" s="26" t="s">
        <v>82</v>
      </c>
      <c r="AD2" s="26" t="s">
        <v>83</v>
      </c>
      <c r="AE2" s="26" t="s">
        <v>82</v>
      </c>
      <c r="AF2" s="26" t="s">
        <v>85</v>
      </c>
      <c r="AG2" s="50" t="s">
        <v>86</v>
      </c>
      <c r="AH2" s="50" t="s">
        <v>86</v>
      </c>
      <c r="AI2" s="26" t="s">
        <v>81</v>
      </c>
      <c r="AJ2" s="26" t="s">
        <v>82</v>
      </c>
      <c r="AK2" s="26" t="s">
        <v>83</v>
      </c>
      <c r="AL2" s="26" t="s">
        <v>82</v>
      </c>
      <c r="AM2" s="26" t="s">
        <v>85</v>
      </c>
      <c r="AN2" s="50" t="s">
        <v>86</v>
      </c>
      <c r="AO2" s="50" t="s">
        <v>86</v>
      </c>
      <c r="AP2" s="26" t="s">
        <v>81</v>
      </c>
      <c r="AQ2" s="26" t="s">
        <v>82</v>
      </c>
      <c r="AR2" s="26" t="s">
        <v>83</v>
      </c>
      <c r="AS2" s="26" t="s">
        <v>82</v>
      </c>
      <c r="AT2" s="26" t="s">
        <v>85</v>
      </c>
      <c r="AU2" s="50" t="s">
        <v>86</v>
      </c>
      <c r="AV2" s="50" t="s">
        <v>86</v>
      </c>
      <c r="AW2" s="26" t="s">
        <v>81</v>
      </c>
      <c r="AX2" s="26" t="s">
        <v>82</v>
      </c>
      <c r="AY2" s="26" t="s">
        <v>83</v>
      </c>
      <c r="AZ2" s="26" t="s">
        <v>82</v>
      </c>
      <c r="BA2" s="26" t="s">
        <v>85</v>
      </c>
      <c r="BB2" s="50" t="s">
        <v>86</v>
      </c>
      <c r="BC2" s="50" t="s">
        <v>86</v>
      </c>
      <c r="BD2" s="26" t="s">
        <v>81</v>
      </c>
      <c r="BE2" s="26" t="s">
        <v>82</v>
      </c>
      <c r="BF2" s="26" t="s">
        <v>83</v>
      </c>
      <c r="BG2" s="26" t="s">
        <v>82</v>
      </c>
      <c r="BH2" s="26" t="s">
        <v>85</v>
      </c>
      <c r="BI2" s="50" t="s">
        <v>86</v>
      </c>
      <c r="BJ2" s="50" t="s">
        <v>86</v>
      </c>
      <c r="BK2" s="26" t="s">
        <v>81</v>
      </c>
      <c r="BL2" s="26" t="s">
        <v>82</v>
      </c>
      <c r="BM2" s="26" t="s">
        <v>83</v>
      </c>
      <c r="BN2" s="26" t="s">
        <v>82</v>
      </c>
      <c r="BO2" s="26" t="s">
        <v>85</v>
      </c>
      <c r="BP2" s="50" t="s">
        <v>86</v>
      </c>
      <c r="BQ2" s="50" t="s">
        <v>86</v>
      </c>
      <c r="BR2" s="26" t="s">
        <v>81</v>
      </c>
      <c r="BS2" s="26" t="s">
        <v>82</v>
      </c>
      <c r="BT2" s="26" t="s">
        <v>83</v>
      </c>
      <c r="BU2" s="26" t="s">
        <v>82</v>
      </c>
      <c r="BV2" s="26" t="s">
        <v>85</v>
      </c>
      <c r="BW2" s="50" t="s">
        <v>86</v>
      </c>
      <c r="BX2" s="50" t="s">
        <v>86</v>
      </c>
      <c r="BY2" s="26" t="s">
        <v>81</v>
      </c>
      <c r="BZ2" s="26" t="s">
        <v>82</v>
      </c>
      <c r="CA2" s="26" t="s">
        <v>83</v>
      </c>
      <c r="CB2" s="26" t="s">
        <v>82</v>
      </c>
      <c r="CC2" s="26" t="s">
        <v>85</v>
      </c>
      <c r="CD2" s="50" t="s">
        <v>86</v>
      </c>
      <c r="CE2" s="50" t="s">
        <v>86</v>
      </c>
      <c r="CF2" s="26" t="s">
        <v>81</v>
      </c>
      <c r="CG2" s="26" t="s">
        <v>82</v>
      </c>
      <c r="CH2" s="26" t="s">
        <v>83</v>
      </c>
      <c r="CI2" s="26" t="s">
        <v>82</v>
      </c>
      <c r="CJ2" s="26" t="s">
        <v>85</v>
      </c>
      <c r="CK2" s="50" t="s">
        <v>86</v>
      </c>
      <c r="CL2" s="50" t="s">
        <v>86</v>
      </c>
      <c r="CM2" s="26" t="s">
        <v>81</v>
      </c>
      <c r="CN2" s="26" t="s">
        <v>82</v>
      </c>
      <c r="CO2" s="26" t="s">
        <v>83</v>
      </c>
      <c r="CP2" s="26" t="s">
        <v>82</v>
      </c>
      <c r="CQ2" s="26" t="s">
        <v>85</v>
      </c>
      <c r="CR2" s="50" t="s">
        <v>86</v>
      </c>
      <c r="CS2" s="50" t="s">
        <v>86</v>
      </c>
      <c r="CT2" s="26" t="s">
        <v>81</v>
      </c>
      <c r="CU2" s="26" t="s">
        <v>82</v>
      </c>
      <c r="CV2" s="26" t="s">
        <v>83</v>
      </c>
      <c r="CW2" s="26" t="s">
        <v>82</v>
      </c>
      <c r="CX2" s="26" t="s">
        <v>85</v>
      </c>
      <c r="CY2" s="50" t="s">
        <v>86</v>
      </c>
      <c r="CZ2" s="50" t="s">
        <v>86</v>
      </c>
      <c r="DA2" s="26" t="s">
        <v>81</v>
      </c>
      <c r="DB2" s="26" t="s">
        <v>82</v>
      </c>
      <c r="DC2" s="26" t="s">
        <v>83</v>
      </c>
      <c r="DD2" s="26" t="s">
        <v>82</v>
      </c>
      <c r="DE2" s="26" t="s">
        <v>85</v>
      </c>
      <c r="DF2" s="50" t="s">
        <v>86</v>
      </c>
      <c r="DG2" s="50" t="s">
        <v>86</v>
      </c>
      <c r="DH2" s="26" t="s">
        <v>81</v>
      </c>
      <c r="DI2" s="26" t="s">
        <v>82</v>
      </c>
      <c r="DJ2" s="26" t="s">
        <v>83</v>
      </c>
      <c r="DK2" s="26" t="s">
        <v>82</v>
      </c>
      <c r="DL2" s="26" t="s">
        <v>85</v>
      </c>
      <c r="DM2" s="50" t="s">
        <v>86</v>
      </c>
      <c r="DN2" s="50" t="s">
        <v>86</v>
      </c>
      <c r="DO2" s="26" t="s">
        <v>81</v>
      </c>
      <c r="DP2" s="26" t="s">
        <v>82</v>
      </c>
      <c r="DQ2" s="26" t="s">
        <v>83</v>
      </c>
      <c r="DR2" s="26" t="s">
        <v>82</v>
      </c>
      <c r="DS2" s="26" t="s">
        <v>85</v>
      </c>
      <c r="DT2" s="50" t="s">
        <v>86</v>
      </c>
      <c r="DU2" s="50" t="s">
        <v>86</v>
      </c>
      <c r="DV2" s="26" t="s">
        <v>81</v>
      </c>
      <c r="DW2" s="26" t="s">
        <v>82</v>
      </c>
      <c r="DX2" s="26" t="s">
        <v>83</v>
      </c>
      <c r="DY2" s="26" t="s">
        <v>82</v>
      </c>
      <c r="DZ2" s="26" t="s">
        <v>85</v>
      </c>
      <c r="EA2" s="50" t="s">
        <v>86</v>
      </c>
      <c r="EB2" s="50" t="s">
        <v>86</v>
      </c>
      <c r="EC2" s="26" t="s">
        <v>81</v>
      </c>
      <c r="ED2" s="26" t="s">
        <v>82</v>
      </c>
      <c r="EE2" s="26" t="s">
        <v>83</v>
      </c>
      <c r="EF2" s="26" t="s">
        <v>82</v>
      </c>
      <c r="EG2" s="26" t="s">
        <v>85</v>
      </c>
      <c r="EH2" s="50" t="s">
        <v>86</v>
      </c>
      <c r="EI2" s="50" t="s">
        <v>86</v>
      </c>
      <c r="EJ2" s="26" t="s">
        <v>81</v>
      </c>
      <c r="EK2" s="26" t="s">
        <v>82</v>
      </c>
      <c r="EL2" s="26" t="s">
        <v>83</v>
      </c>
      <c r="EM2" s="26" t="s">
        <v>82</v>
      </c>
      <c r="EN2" s="26" t="s">
        <v>85</v>
      </c>
      <c r="EO2" s="50" t="s">
        <v>86</v>
      </c>
      <c r="EP2" s="50" t="s">
        <v>86</v>
      </c>
      <c r="EQ2" s="26" t="s">
        <v>81</v>
      </c>
      <c r="ER2" s="26" t="s">
        <v>82</v>
      </c>
      <c r="ES2" s="26" t="s">
        <v>83</v>
      </c>
      <c r="ET2" s="26" t="s">
        <v>82</v>
      </c>
      <c r="EU2" s="26" t="s">
        <v>85</v>
      </c>
      <c r="EV2" s="50" t="s">
        <v>86</v>
      </c>
      <c r="EW2" s="50" t="s">
        <v>86</v>
      </c>
      <c r="EX2" s="26" t="s">
        <v>81</v>
      </c>
      <c r="EY2" s="26" t="s">
        <v>82</v>
      </c>
      <c r="EZ2" s="26" t="s">
        <v>83</v>
      </c>
      <c r="FA2" s="26" t="s">
        <v>82</v>
      </c>
      <c r="FB2" s="26" t="s">
        <v>85</v>
      </c>
      <c r="FC2" s="50" t="s">
        <v>86</v>
      </c>
      <c r="FD2" s="50" t="s">
        <v>86</v>
      </c>
      <c r="FE2" s="26" t="s">
        <v>81</v>
      </c>
      <c r="FF2" s="26" t="s">
        <v>82</v>
      </c>
      <c r="FG2" s="26" t="s">
        <v>83</v>
      </c>
      <c r="FH2" s="26" t="s">
        <v>82</v>
      </c>
      <c r="FI2" s="26" t="s">
        <v>85</v>
      </c>
      <c r="FJ2" s="50" t="s">
        <v>86</v>
      </c>
      <c r="FK2" s="50" t="s">
        <v>86</v>
      </c>
      <c r="FL2" s="26" t="s">
        <v>81</v>
      </c>
      <c r="FM2" s="26" t="s">
        <v>82</v>
      </c>
      <c r="FN2" s="26" t="s">
        <v>83</v>
      </c>
      <c r="FO2" s="26" t="s">
        <v>82</v>
      </c>
      <c r="FP2" s="26" t="s">
        <v>85</v>
      </c>
      <c r="FQ2" s="50" t="s">
        <v>86</v>
      </c>
      <c r="FR2" s="50" t="s">
        <v>86</v>
      </c>
      <c r="FS2" s="26" t="s">
        <v>81</v>
      </c>
      <c r="FT2" s="26" t="s">
        <v>82</v>
      </c>
      <c r="FU2" s="26" t="s">
        <v>83</v>
      </c>
      <c r="FV2" s="26" t="s">
        <v>82</v>
      </c>
      <c r="FW2" s="26" t="s">
        <v>85</v>
      </c>
      <c r="FX2" s="50" t="s">
        <v>86</v>
      </c>
      <c r="FY2" s="50" t="s">
        <v>86</v>
      </c>
      <c r="FZ2" s="26" t="s">
        <v>81</v>
      </c>
      <c r="GA2" s="26" t="s">
        <v>82</v>
      </c>
      <c r="GB2" s="26" t="s">
        <v>83</v>
      </c>
      <c r="GC2" s="26" t="s">
        <v>82</v>
      </c>
      <c r="GD2" s="26" t="s">
        <v>85</v>
      </c>
      <c r="GE2" s="50" t="s">
        <v>86</v>
      </c>
      <c r="GF2" s="50" t="s">
        <v>86</v>
      </c>
      <c r="GG2" s="26" t="s">
        <v>81</v>
      </c>
      <c r="GH2" s="26" t="s">
        <v>82</v>
      </c>
      <c r="GI2" s="26" t="s">
        <v>83</v>
      </c>
      <c r="GJ2" s="26" t="s">
        <v>82</v>
      </c>
      <c r="GK2" s="26" t="s">
        <v>85</v>
      </c>
      <c r="GL2" s="50" t="s">
        <v>86</v>
      </c>
      <c r="GM2" s="50" t="s">
        <v>86</v>
      </c>
      <c r="GN2" s="26" t="s">
        <v>81</v>
      </c>
      <c r="GO2" s="26" t="s">
        <v>82</v>
      </c>
      <c r="GP2" s="26" t="s">
        <v>83</v>
      </c>
      <c r="GQ2" s="26" t="s">
        <v>82</v>
      </c>
      <c r="GR2" s="26" t="s">
        <v>85</v>
      </c>
      <c r="GS2" s="50" t="s">
        <v>86</v>
      </c>
      <c r="GT2" s="50" t="s">
        <v>86</v>
      </c>
      <c r="GU2" s="26" t="s">
        <v>81</v>
      </c>
      <c r="GV2" s="26" t="s">
        <v>82</v>
      </c>
      <c r="GW2" s="26" t="s">
        <v>83</v>
      </c>
      <c r="GX2" s="26" t="s">
        <v>82</v>
      </c>
      <c r="GY2" s="26" t="s">
        <v>85</v>
      </c>
      <c r="GZ2" s="50" t="s">
        <v>86</v>
      </c>
      <c r="HA2" s="50" t="s">
        <v>86</v>
      </c>
      <c r="HB2" s="26" t="s">
        <v>81</v>
      </c>
      <c r="HC2" s="26" t="s">
        <v>82</v>
      </c>
      <c r="HD2" s="26" t="s">
        <v>83</v>
      </c>
      <c r="HE2" s="26" t="s">
        <v>82</v>
      </c>
      <c r="HF2" s="26" t="s">
        <v>85</v>
      </c>
      <c r="HG2" s="50" t="s">
        <v>86</v>
      </c>
      <c r="HH2" s="50" t="s">
        <v>86</v>
      </c>
      <c r="HI2" s="26" t="s">
        <v>81</v>
      </c>
      <c r="HJ2" s="26" t="s">
        <v>82</v>
      </c>
      <c r="HK2" s="26" t="s">
        <v>83</v>
      </c>
      <c r="HL2" s="26" t="s">
        <v>82</v>
      </c>
      <c r="HM2" s="26" t="s">
        <v>85</v>
      </c>
      <c r="HN2" s="50" t="s">
        <v>86</v>
      </c>
      <c r="HO2" s="50" t="s">
        <v>86</v>
      </c>
      <c r="HP2" s="26" t="s">
        <v>81</v>
      </c>
      <c r="HQ2" s="26" t="s">
        <v>82</v>
      </c>
      <c r="HR2" s="26" t="s">
        <v>83</v>
      </c>
      <c r="HS2" s="26" t="s">
        <v>82</v>
      </c>
      <c r="HT2" s="26" t="s">
        <v>85</v>
      </c>
    </row>
    <row r="3" customFormat="false" ht="15" hidden="false" customHeight="false" outlineLevel="0" collapsed="false">
      <c r="A3" s="0" t="str">
        <f aca="false">'Schedule Engine'!B2</f>
        <v>IW10</v>
      </c>
      <c r="B3" s="0" t="str">
        <f aca="false">'Schedule Engine'!E2</f>
        <v>Estimate</v>
      </c>
      <c r="C3" s="0" t="str">
        <f aca="false">'Schedule Engine'!F2</f>
        <v>Willett &amp; Assoc.</v>
      </c>
      <c r="D3" s="0" t="n">
        <f aca="false">'Schedule Engine'!G2</f>
        <v>0</v>
      </c>
      <c r="E3" s="34" t="n">
        <f aca="false">'Schedule Engine'!N2</f>
        <v>46113</v>
      </c>
      <c r="F3" s="34" t="n">
        <f aca="false">'Schedule Engine'!O2</f>
        <v>46126</v>
      </c>
      <c r="G3" s="0" t="n">
        <f aca="false">'Schedule Engine'!K2</f>
        <v>10</v>
      </c>
      <c r="H3" s="0" t="n">
        <f aca="false">'Schedule Engine'!P2</f>
        <v>0</v>
      </c>
      <c r="L3" s="51"/>
      <c r="M3" s="51"/>
      <c r="S3" s="51"/>
      <c r="T3" s="51"/>
      <c r="Z3" s="51"/>
      <c r="AA3" s="51"/>
      <c r="AG3" s="51"/>
      <c r="AH3" s="51"/>
      <c r="AN3" s="51"/>
      <c r="AO3" s="51"/>
      <c r="AU3" s="51"/>
      <c r="AV3" s="51"/>
      <c r="BB3" s="51"/>
      <c r="BC3" s="51"/>
      <c r="BI3" s="51"/>
      <c r="BJ3" s="51"/>
      <c r="BP3" s="51"/>
      <c r="BQ3" s="51"/>
      <c r="BW3" s="51"/>
      <c r="BX3" s="51"/>
      <c r="CD3" s="51"/>
      <c r="CE3" s="51"/>
      <c r="CK3" s="51"/>
      <c r="CL3" s="51"/>
      <c r="CR3" s="51"/>
      <c r="CS3" s="51"/>
      <c r="CY3" s="51"/>
      <c r="CZ3" s="51"/>
      <c r="DF3" s="51"/>
      <c r="DG3" s="51"/>
      <c r="DM3" s="51"/>
      <c r="DN3" s="51"/>
      <c r="DT3" s="51"/>
      <c r="DU3" s="51"/>
      <c r="EA3" s="51"/>
      <c r="EB3" s="51"/>
      <c r="EH3" s="51"/>
      <c r="EI3" s="51"/>
      <c r="EO3" s="51"/>
      <c r="EP3" s="51"/>
      <c r="EV3" s="51"/>
      <c r="EW3" s="51"/>
      <c r="FC3" s="51"/>
      <c r="FD3" s="51"/>
      <c r="FJ3" s="51"/>
      <c r="FK3" s="51"/>
      <c r="FQ3" s="51"/>
      <c r="FR3" s="51"/>
      <c r="FX3" s="51"/>
      <c r="FY3" s="51"/>
      <c r="GE3" s="51"/>
      <c r="GF3" s="51"/>
      <c r="GL3" s="51"/>
      <c r="GM3" s="51"/>
      <c r="GS3" s="51"/>
      <c r="GT3" s="51"/>
      <c r="GZ3" s="51"/>
      <c r="HA3" s="51"/>
      <c r="HG3" s="51"/>
      <c r="HH3" s="51"/>
      <c r="HN3" s="51"/>
      <c r="HO3" s="51"/>
    </row>
    <row r="4" customFormat="false" ht="15" hidden="false" customHeight="false" outlineLevel="0" collapsed="false">
      <c r="A4" s="0" t="str">
        <f aca="false">'Schedule Engine'!B3</f>
        <v>IW10</v>
      </c>
      <c r="B4" s="0" t="str">
        <f aca="false">'Schedule Engine'!E3</f>
        <v>Clearing</v>
      </c>
      <c r="C4" s="0" t="str">
        <f aca="false">'Schedule Engine'!F3</f>
        <v>Willett &amp; Assoc.</v>
      </c>
      <c r="D4" s="0" t="n">
        <f aca="false">'Schedule Engine'!G3</f>
        <v>0</v>
      </c>
      <c r="E4" s="34" t="n">
        <f aca="false">'Schedule Engine'!N3</f>
        <v>46127</v>
      </c>
      <c r="F4" s="34" t="n">
        <f aca="false">'Schedule Engine'!O3</f>
        <v>46129</v>
      </c>
      <c r="G4" s="0" t="n">
        <f aca="false">'Schedule Engine'!K3</f>
        <v>3</v>
      </c>
      <c r="H4" s="0" t="n">
        <f aca="false">'Schedule Engine'!P3</f>
        <v>0</v>
      </c>
      <c r="L4" s="51"/>
      <c r="M4" s="51"/>
      <c r="S4" s="51"/>
      <c r="T4" s="51"/>
      <c r="Z4" s="51"/>
      <c r="AA4" s="51"/>
      <c r="AG4" s="51"/>
      <c r="AH4" s="51"/>
      <c r="AN4" s="51"/>
      <c r="AO4" s="51"/>
      <c r="AU4" s="51"/>
      <c r="AV4" s="51"/>
      <c r="BB4" s="51"/>
      <c r="BC4" s="51"/>
      <c r="BI4" s="51"/>
      <c r="BJ4" s="51"/>
      <c r="BP4" s="51"/>
      <c r="BQ4" s="51"/>
      <c r="BW4" s="51"/>
      <c r="BX4" s="51"/>
      <c r="CD4" s="51"/>
      <c r="CE4" s="51"/>
      <c r="CK4" s="51"/>
      <c r="CL4" s="51"/>
      <c r="CR4" s="51"/>
      <c r="CS4" s="51"/>
      <c r="CY4" s="51"/>
      <c r="CZ4" s="51"/>
      <c r="DF4" s="51"/>
      <c r="DG4" s="51"/>
      <c r="DM4" s="51"/>
      <c r="DN4" s="51"/>
      <c r="DT4" s="51"/>
      <c r="DU4" s="51"/>
      <c r="EA4" s="51"/>
      <c r="EB4" s="51"/>
      <c r="EH4" s="51"/>
      <c r="EI4" s="51"/>
      <c r="EO4" s="51"/>
      <c r="EP4" s="51"/>
      <c r="EV4" s="51"/>
      <c r="EW4" s="51"/>
      <c r="FC4" s="51"/>
      <c r="FD4" s="51"/>
      <c r="FJ4" s="51"/>
      <c r="FK4" s="51"/>
      <c r="FQ4" s="51"/>
      <c r="FR4" s="51"/>
      <c r="FX4" s="51"/>
      <c r="FY4" s="51"/>
      <c r="GE4" s="51"/>
      <c r="GF4" s="51"/>
      <c r="GL4" s="51"/>
      <c r="GM4" s="51"/>
      <c r="GS4" s="51"/>
      <c r="GT4" s="51"/>
      <c r="GZ4" s="51"/>
      <c r="HA4" s="51"/>
      <c r="HG4" s="51"/>
      <c r="HH4" s="51"/>
      <c r="HN4" s="51"/>
      <c r="HO4" s="51"/>
    </row>
    <row r="5" customFormat="false" ht="15" hidden="false" customHeight="false" outlineLevel="0" collapsed="false">
      <c r="A5" s="0" t="str">
        <f aca="false">'Schedule Engine'!B4</f>
        <v>IW10</v>
      </c>
      <c r="B5" s="0" t="str">
        <f aca="false">'Schedule Engine'!E4</f>
        <v>Site Prep</v>
      </c>
      <c r="C5" s="0" t="str">
        <f aca="false">'Schedule Engine'!F4</f>
        <v>Willett &amp; Assoc.</v>
      </c>
      <c r="D5" s="0" t="n">
        <f aca="false">'Schedule Engine'!G4</f>
        <v>0</v>
      </c>
      <c r="E5" s="34" t="n">
        <f aca="false">'Schedule Engine'!N4</f>
        <v>46132</v>
      </c>
      <c r="F5" s="34" t="n">
        <f aca="false">'Schedule Engine'!O4</f>
        <v>46133</v>
      </c>
      <c r="G5" s="0" t="n">
        <f aca="false">'Schedule Engine'!K4</f>
        <v>2</v>
      </c>
      <c r="H5" s="0" t="n">
        <f aca="false">'Schedule Engine'!P4</f>
        <v>0</v>
      </c>
      <c r="L5" s="51"/>
      <c r="M5" s="51"/>
      <c r="S5" s="51"/>
      <c r="T5" s="51"/>
      <c r="Z5" s="51"/>
      <c r="AA5" s="51"/>
      <c r="AG5" s="51"/>
      <c r="AH5" s="51"/>
      <c r="AN5" s="51"/>
      <c r="AO5" s="51"/>
      <c r="AU5" s="51"/>
      <c r="AV5" s="51"/>
      <c r="BB5" s="51"/>
      <c r="BC5" s="51"/>
      <c r="BI5" s="51"/>
      <c r="BJ5" s="51"/>
      <c r="BP5" s="51"/>
      <c r="BQ5" s="51"/>
      <c r="BW5" s="51"/>
      <c r="BX5" s="51"/>
      <c r="CD5" s="51"/>
      <c r="CE5" s="51"/>
      <c r="CK5" s="51"/>
      <c r="CL5" s="51"/>
      <c r="CR5" s="51"/>
      <c r="CS5" s="51"/>
      <c r="CY5" s="51"/>
      <c r="CZ5" s="51"/>
      <c r="DF5" s="51"/>
      <c r="DG5" s="51"/>
      <c r="DM5" s="51"/>
      <c r="DN5" s="51"/>
      <c r="DT5" s="51"/>
      <c r="DU5" s="51"/>
      <c r="EA5" s="51"/>
      <c r="EB5" s="51"/>
      <c r="EH5" s="51"/>
      <c r="EI5" s="51"/>
      <c r="EO5" s="51"/>
      <c r="EP5" s="51"/>
      <c r="EV5" s="51"/>
      <c r="EW5" s="51"/>
      <c r="FC5" s="51"/>
      <c r="FD5" s="51"/>
      <c r="FJ5" s="51"/>
      <c r="FK5" s="51"/>
      <c r="FQ5" s="51"/>
      <c r="FR5" s="51"/>
      <c r="FX5" s="51"/>
      <c r="FY5" s="51"/>
      <c r="GE5" s="51"/>
      <c r="GF5" s="51"/>
      <c r="GL5" s="51"/>
      <c r="GM5" s="51"/>
      <c r="GS5" s="51"/>
      <c r="GT5" s="51"/>
      <c r="GZ5" s="51"/>
      <c r="HA5" s="51"/>
      <c r="HG5" s="51"/>
      <c r="HH5" s="51"/>
      <c r="HN5" s="51"/>
      <c r="HO5" s="51"/>
    </row>
    <row r="6" customFormat="false" ht="15" hidden="false" customHeight="false" outlineLevel="0" collapsed="false">
      <c r="A6" s="0" t="str">
        <f aca="false">'Schedule Engine'!B5</f>
        <v>IW10</v>
      </c>
      <c r="B6" s="0" t="str">
        <f aca="false">'Schedule Engine'!E5</f>
        <v>Footer</v>
      </c>
      <c r="C6" s="0" t="str">
        <f aca="false">'Schedule Engine'!F5</f>
        <v>3C Concrete</v>
      </c>
      <c r="D6" s="0" t="str">
        <f aca="false">'Schedule Engine'!G5</f>
        <v>3C Concrete</v>
      </c>
      <c r="E6" s="34" t="n">
        <f aca="false">'Schedule Engine'!N5</f>
        <v>46134</v>
      </c>
      <c r="F6" s="34" t="n">
        <f aca="false">'Schedule Engine'!O5</f>
        <v>46139</v>
      </c>
      <c r="G6" s="0" t="n">
        <f aca="false">'Schedule Engine'!K5</f>
        <v>4</v>
      </c>
      <c r="H6" s="0" t="n">
        <f aca="false">'Schedule Engine'!P5</f>
        <v>0</v>
      </c>
      <c r="L6" s="51"/>
      <c r="M6" s="51"/>
      <c r="S6" s="51"/>
      <c r="T6" s="51"/>
      <c r="Z6" s="51"/>
      <c r="AA6" s="51"/>
      <c r="AG6" s="51"/>
      <c r="AH6" s="51"/>
      <c r="AN6" s="51"/>
      <c r="AO6" s="51"/>
      <c r="AU6" s="51"/>
      <c r="AV6" s="51"/>
      <c r="BB6" s="51"/>
      <c r="BC6" s="51"/>
      <c r="BI6" s="51"/>
      <c r="BJ6" s="51"/>
      <c r="BP6" s="51"/>
      <c r="BQ6" s="51"/>
      <c r="BW6" s="51"/>
      <c r="BX6" s="51"/>
      <c r="CD6" s="51"/>
      <c r="CE6" s="51"/>
      <c r="CK6" s="51"/>
      <c r="CL6" s="51"/>
      <c r="CR6" s="51"/>
      <c r="CS6" s="51"/>
      <c r="CY6" s="51"/>
      <c r="CZ6" s="51"/>
      <c r="DF6" s="51"/>
      <c r="DG6" s="51"/>
      <c r="DM6" s="51"/>
      <c r="DN6" s="51"/>
      <c r="DT6" s="51"/>
      <c r="DU6" s="51"/>
      <c r="EA6" s="51"/>
      <c r="EB6" s="51"/>
      <c r="EH6" s="51"/>
      <c r="EI6" s="51"/>
      <c r="EO6" s="51"/>
      <c r="EP6" s="51"/>
      <c r="EV6" s="51"/>
      <c r="EW6" s="51"/>
      <c r="FC6" s="51"/>
      <c r="FD6" s="51"/>
      <c r="FJ6" s="51"/>
      <c r="FK6" s="51"/>
      <c r="FQ6" s="51"/>
      <c r="FR6" s="51"/>
      <c r="FX6" s="51"/>
      <c r="FY6" s="51"/>
      <c r="GE6" s="51"/>
      <c r="GF6" s="51"/>
      <c r="GL6" s="51"/>
      <c r="GM6" s="51"/>
      <c r="GS6" s="51"/>
      <c r="GT6" s="51"/>
      <c r="GZ6" s="51"/>
      <c r="HA6" s="51"/>
      <c r="HG6" s="51"/>
      <c r="HH6" s="51"/>
      <c r="HN6" s="51"/>
      <c r="HO6" s="51"/>
    </row>
    <row r="7" customFormat="false" ht="15" hidden="false" customHeight="false" outlineLevel="0" collapsed="false">
      <c r="A7" s="0" t="str">
        <f aca="false">'Schedule Engine'!B6</f>
        <v>IW10</v>
      </c>
      <c r="B7" s="0" t="str">
        <f aca="false">'Schedule Engine'!E6</f>
        <v>Block</v>
      </c>
      <c r="C7" s="0" t="str">
        <f aca="false">'Schedule Engine'!F6</f>
        <v>Julio H</v>
      </c>
      <c r="D7" s="0" t="n">
        <f aca="false">'Schedule Engine'!G6</f>
        <v>0</v>
      </c>
      <c r="E7" s="34" t="n">
        <f aca="false">'Schedule Engine'!N6</f>
        <v>46140</v>
      </c>
      <c r="F7" s="34" t="n">
        <f aca="false">'Schedule Engine'!O6</f>
        <v>46153</v>
      </c>
      <c r="G7" s="0" t="n">
        <f aca="false">'Schedule Engine'!K6</f>
        <v>10</v>
      </c>
      <c r="H7" s="0" t="n">
        <f aca="false">'Schedule Engine'!P6</f>
        <v>0</v>
      </c>
      <c r="L7" s="51"/>
      <c r="M7" s="51"/>
      <c r="S7" s="51"/>
      <c r="T7" s="51"/>
      <c r="Z7" s="51"/>
      <c r="AA7" s="51"/>
      <c r="AG7" s="51"/>
      <c r="AH7" s="51"/>
      <c r="AN7" s="51"/>
      <c r="AO7" s="51"/>
      <c r="AU7" s="51"/>
      <c r="AV7" s="51"/>
      <c r="BB7" s="51"/>
      <c r="BC7" s="51"/>
      <c r="BI7" s="51"/>
      <c r="BJ7" s="51"/>
      <c r="BP7" s="51"/>
      <c r="BQ7" s="51"/>
      <c r="BW7" s="51"/>
      <c r="BX7" s="51"/>
      <c r="CD7" s="51"/>
      <c r="CE7" s="51"/>
      <c r="CK7" s="51"/>
      <c r="CL7" s="51"/>
      <c r="CR7" s="51"/>
      <c r="CS7" s="51"/>
      <c r="CY7" s="51"/>
      <c r="CZ7" s="51"/>
      <c r="DF7" s="51"/>
      <c r="DG7" s="51"/>
      <c r="DM7" s="51"/>
      <c r="DN7" s="51"/>
      <c r="DT7" s="51"/>
      <c r="DU7" s="51"/>
      <c r="EA7" s="51"/>
      <c r="EB7" s="51"/>
      <c r="EH7" s="51"/>
      <c r="EI7" s="51"/>
      <c r="EO7" s="51"/>
      <c r="EP7" s="51"/>
      <c r="EV7" s="51"/>
      <c r="EW7" s="51"/>
      <c r="FC7" s="51"/>
      <c r="FD7" s="51"/>
      <c r="FJ7" s="51"/>
      <c r="FK7" s="51"/>
      <c r="FQ7" s="51"/>
      <c r="FR7" s="51"/>
      <c r="FX7" s="51"/>
      <c r="FY7" s="51"/>
      <c r="GE7" s="51"/>
      <c r="GF7" s="51"/>
      <c r="GL7" s="51"/>
      <c r="GM7" s="51"/>
      <c r="GS7" s="51"/>
      <c r="GT7" s="51"/>
      <c r="GZ7" s="51"/>
      <c r="HA7" s="51"/>
      <c r="HG7" s="51"/>
      <c r="HH7" s="51"/>
      <c r="HN7" s="51"/>
      <c r="HO7" s="51"/>
    </row>
    <row r="8" customFormat="false" ht="15" hidden="false" customHeight="false" outlineLevel="0" collapsed="false">
      <c r="A8" s="0" t="str">
        <f aca="false">'Schedule Engine'!B7</f>
        <v>IW10</v>
      </c>
      <c r="B8" s="0" t="str">
        <f aca="false">'Schedule Engine'!E7</f>
        <v>French Drain</v>
      </c>
      <c r="C8" s="0" t="str">
        <f aca="false">'Schedule Engine'!F7</f>
        <v>Jacob Hayden</v>
      </c>
      <c r="D8" s="0" t="n">
        <f aca="false">'Schedule Engine'!G7</f>
        <v>0</v>
      </c>
      <c r="E8" s="34" t="n">
        <f aca="false">'Schedule Engine'!N7</f>
        <v>46154</v>
      </c>
      <c r="F8" s="34" t="n">
        <f aca="false">'Schedule Engine'!O7</f>
        <v>46155</v>
      </c>
      <c r="G8" s="0" t="n">
        <f aca="false">'Schedule Engine'!K7</f>
        <v>2</v>
      </c>
      <c r="H8" s="0" t="n">
        <f aca="false">'Schedule Engine'!P7</f>
        <v>0</v>
      </c>
      <c r="L8" s="51"/>
      <c r="M8" s="51"/>
      <c r="S8" s="51"/>
      <c r="T8" s="51"/>
      <c r="Z8" s="51"/>
      <c r="AA8" s="51"/>
      <c r="AG8" s="51"/>
      <c r="AH8" s="51"/>
      <c r="AN8" s="51"/>
      <c r="AO8" s="51"/>
      <c r="AU8" s="51"/>
      <c r="AV8" s="51"/>
      <c r="BB8" s="51"/>
      <c r="BC8" s="51"/>
      <c r="BI8" s="51"/>
      <c r="BJ8" s="51"/>
      <c r="BP8" s="51"/>
      <c r="BQ8" s="51"/>
      <c r="BW8" s="51"/>
      <c r="BX8" s="51"/>
      <c r="CD8" s="51"/>
      <c r="CE8" s="51"/>
      <c r="CK8" s="51"/>
      <c r="CL8" s="51"/>
      <c r="CR8" s="51"/>
      <c r="CS8" s="51"/>
      <c r="CY8" s="51"/>
      <c r="CZ8" s="51"/>
      <c r="DF8" s="51"/>
      <c r="DG8" s="51"/>
      <c r="DM8" s="51"/>
      <c r="DN8" s="51"/>
      <c r="DT8" s="51"/>
      <c r="DU8" s="51"/>
      <c r="EA8" s="51"/>
      <c r="EB8" s="51"/>
      <c r="EH8" s="51"/>
      <c r="EI8" s="51"/>
      <c r="EO8" s="51"/>
      <c r="EP8" s="51"/>
      <c r="EV8" s="51"/>
      <c r="EW8" s="51"/>
      <c r="FC8" s="51"/>
      <c r="FD8" s="51"/>
      <c r="FJ8" s="51"/>
      <c r="FK8" s="51"/>
      <c r="FQ8" s="51"/>
      <c r="FR8" s="51"/>
      <c r="FX8" s="51"/>
      <c r="FY8" s="51"/>
      <c r="GE8" s="51"/>
      <c r="GF8" s="51"/>
      <c r="GL8" s="51"/>
      <c r="GM8" s="51"/>
      <c r="GS8" s="51"/>
      <c r="GT8" s="51"/>
      <c r="GZ8" s="51"/>
      <c r="HA8" s="51"/>
      <c r="HG8" s="51"/>
      <c r="HH8" s="51"/>
      <c r="HN8" s="51"/>
      <c r="HO8" s="51"/>
    </row>
    <row r="9" customFormat="false" ht="15" hidden="false" customHeight="false" outlineLevel="0" collapsed="false">
      <c r="A9" s="0" t="str">
        <f aca="false">'Schedule Engine'!B8</f>
        <v>IW10</v>
      </c>
      <c r="B9" s="0" t="str">
        <f aca="false">'Schedule Engine'!E8</f>
        <v>Insulation Block</v>
      </c>
      <c r="C9" s="0" t="str">
        <f aca="false">'Schedule Engine'!F8</f>
        <v>Tyler Champion</v>
      </c>
      <c r="D9" s="0" t="n">
        <f aca="false">'Schedule Engine'!G8</f>
        <v>0</v>
      </c>
      <c r="E9" s="34" t="n">
        <f aca="false">'Schedule Engine'!N8</f>
        <v>46154</v>
      </c>
      <c r="F9" s="34" t="n">
        <f aca="false">'Schedule Engine'!O8</f>
        <v>46155</v>
      </c>
      <c r="G9" s="0" t="n">
        <f aca="false">'Schedule Engine'!K8</f>
        <v>2</v>
      </c>
      <c r="H9" s="0" t="n">
        <f aca="false">'Schedule Engine'!P8</f>
        <v>0</v>
      </c>
      <c r="L9" s="51"/>
      <c r="M9" s="51"/>
      <c r="S9" s="51"/>
      <c r="T9" s="51"/>
      <c r="Z9" s="51"/>
      <c r="AA9" s="51"/>
      <c r="AG9" s="51"/>
      <c r="AH9" s="51"/>
      <c r="AN9" s="51"/>
      <c r="AO9" s="51"/>
      <c r="AU9" s="51"/>
      <c r="AV9" s="51"/>
      <c r="BB9" s="51"/>
      <c r="BC9" s="51"/>
      <c r="BI9" s="51"/>
      <c r="BJ9" s="51"/>
      <c r="BP9" s="51"/>
      <c r="BQ9" s="51"/>
      <c r="BW9" s="51"/>
      <c r="BX9" s="51"/>
      <c r="CD9" s="51"/>
      <c r="CE9" s="51"/>
      <c r="CK9" s="51"/>
      <c r="CL9" s="51"/>
      <c r="CR9" s="51"/>
      <c r="CS9" s="51"/>
      <c r="CY9" s="51"/>
      <c r="CZ9" s="51"/>
      <c r="DF9" s="51"/>
      <c r="DG9" s="51"/>
      <c r="DM9" s="51"/>
      <c r="DN9" s="51"/>
      <c r="DT9" s="51"/>
      <c r="DU9" s="51"/>
      <c r="EA9" s="51"/>
      <c r="EB9" s="51"/>
      <c r="EH9" s="51"/>
      <c r="EI9" s="51"/>
      <c r="EO9" s="51"/>
      <c r="EP9" s="51"/>
      <c r="EV9" s="51"/>
      <c r="EW9" s="51"/>
      <c r="FC9" s="51"/>
      <c r="FD9" s="51"/>
      <c r="FJ9" s="51"/>
      <c r="FK9" s="51"/>
      <c r="FQ9" s="51"/>
      <c r="FR9" s="51"/>
      <c r="FX9" s="51"/>
      <c r="FY9" s="51"/>
      <c r="GE9" s="51"/>
      <c r="GF9" s="51"/>
      <c r="GL9" s="51"/>
      <c r="GM9" s="51"/>
      <c r="GS9" s="51"/>
      <c r="GT9" s="51"/>
      <c r="GZ9" s="51"/>
      <c r="HA9" s="51"/>
      <c r="HG9" s="51"/>
      <c r="HH9" s="51"/>
      <c r="HN9" s="51"/>
      <c r="HO9" s="51"/>
    </row>
    <row r="10" customFormat="false" ht="15" hidden="false" customHeight="false" outlineLevel="0" collapsed="false">
      <c r="A10" s="0" t="str">
        <f aca="false">'Schedule Engine'!B9</f>
        <v>IW10</v>
      </c>
      <c r="B10" s="0" t="str">
        <f aca="false">'Schedule Engine'!E9</f>
        <v>Rock Work</v>
      </c>
      <c r="C10" s="0" t="n">
        <f aca="false">'Schedule Engine'!F9</f>
        <v>0</v>
      </c>
      <c r="D10" s="0" t="n">
        <f aca="false">'Schedule Engine'!G9</f>
        <v>0</v>
      </c>
      <c r="E10" s="34" t="n">
        <f aca="false">'Schedule Engine'!N9</f>
        <v>46156</v>
      </c>
      <c r="F10" s="34" t="n">
        <f aca="false">'Schedule Engine'!O9</f>
        <v>46157</v>
      </c>
      <c r="G10" s="0" t="n">
        <f aca="false">'Schedule Engine'!K9</f>
        <v>2</v>
      </c>
      <c r="H10" s="0" t="n">
        <f aca="false">'Schedule Engine'!P9</f>
        <v>0</v>
      </c>
      <c r="L10" s="51"/>
      <c r="M10" s="51"/>
      <c r="S10" s="51"/>
      <c r="T10" s="51"/>
      <c r="Z10" s="51"/>
      <c r="AA10" s="51"/>
      <c r="AG10" s="51"/>
      <c r="AH10" s="51"/>
      <c r="AN10" s="51"/>
      <c r="AO10" s="51"/>
      <c r="AU10" s="51"/>
      <c r="AV10" s="51"/>
      <c r="BB10" s="51"/>
      <c r="BC10" s="51"/>
      <c r="BI10" s="51"/>
      <c r="BJ10" s="51"/>
      <c r="BP10" s="51"/>
      <c r="BQ10" s="51"/>
      <c r="BW10" s="51"/>
      <c r="BX10" s="51"/>
      <c r="CD10" s="51"/>
      <c r="CE10" s="51"/>
      <c r="CK10" s="51"/>
      <c r="CL10" s="51"/>
      <c r="CR10" s="51"/>
      <c r="CS10" s="51"/>
      <c r="CY10" s="51"/>
      <c r="CZ10" s="51"/>
      <c r="DF10" s="51"/>
      <c r="DG10" s="51"/>
      <c r="DM10" s="51"/>
      <c r="DN10" s="51"/>
      <c r="DT10" s="51"/>
      <c r="DU10" s="51"/>
      <c r="EA10" s="51"/>
      <c r="EB10" s="51"/>
      <c r="EH10" s="51"/>
      <c r="EI10" s="51"/>
      <c r="EO10" s="51"/>
      <c r="EP10" s="51"/>
      <c r="EV10" s="51"/>
      <c r="EW10" s="51"/>
      <c r="FC10" s="51"/>
      <c r="FD10" s="51"/>
      <c r="FJ10" s="51"/>
      <c r="FK10" s="51"/>
      <c r="FQ10" s="51"/>
      <c r="FR10" s="51"/>
      <c r="FX10" s="51"/>
      <c r="FY10" s="51"/>
      <c r="GE10" s="51"/>
      <c r="GF10" s="51"/>
      <c r="GL10" s="51"/>
      <c r="GM10" s="51"/>
      <c r="GS10" s="51"/>
      <c r="GT10" s="51"/>
      <c r="GZ10" s="51"/>
      <c r="HA10" s="51"/>
      <c r="HG10" s="51"/>
      <c r="HH10" s="51"/>
      <c r="HN10" s="51"/>
      <c r="HO10" s="51"/>
    </row>
    <row r="11" customFormat="false" ht="15" hidden="false" customHeight="false" outlineLevel="0" collapsed="false">
      <c r="A11" s="0" t="str">
        <f aca="false">'Schedule Engine'!B10</f>
        <v>IW10</v>
      </c>
      <c r="B11" s="0" t="str">
        <f aca="false">'Schedule Engine'!E10</f>
        <v>HVAC Pre</v>
      </c>
      <c r="C11" s="0" t="str">
        <f aca="false">'Schedule Engine'!F10</f>
        <v>Adco</v>
      </c>
      <c r="D11" s="0" t="n">
        <f aca="false">'Schedule Engine'!G10</f>
        <v>0</v>
      </c>
      <c r="E11" s="34" t="n">
        <f aca="false">'Schedule Engine'!N10</f>
        <v>46160</v>
      </c>
      <c r="F11" s="34" t="n">
        <f aca="false">'Schedule Engine'!O10</f>
        <v>46161</v>
      </c>
      <c r="G11" s="0" t="n">
        <f aca="false">'Schedule Engine'!K10</f>
        <v>2</v>
      </c>
      <c r="H11" s="0" t="n">
        <f aca="false">'Schedule Engine'!P10</f>
        <v>0</v>
      </c>
      <c r="L11" s="51"/>
      <c r="M11" s="51"/>
      <c r="S11" s="51"/>
      <c r="T11" s="51"/>
      <c r="Z11" s="51"/>
      <c r="AA11" s="51"/>
      <c r="AG11" s="51"/>
      <c r="AH11" s="51"/>
      <c r="AN11" s="51"/>
      <c r="AO11" s="51"/>
      <c r="AU11" s="51"/>
      <c r="AV11" s="51"/>
      <c r="BB11" s="51"/>
      <c r="BC11" s="51"/>
      <c r="BI11" s="51"/>
      <c r="BJ11" s="51"/>
      <c r="BP11" s="51"/>
      <c r="BQ11" s="51"/>
      <c r="BW11" s="51"/>
      <c r="BX11" s="51"/>
      <c r="CD11" s="51"/>
      <c r="CE11" s="51"/>
      <c r="CK11" s="51"/>
      <c r="CL11" s="51"/>
      <c r="CR11" s="51"/>
      <c r="CS11" s="51"/>
      <c r="CY11" s="51"/>
      <c r="CZ11" s="51"/>
      <c r="DF11" s="51"/>
      <c r="DG11" s="51"/>
      <c r="DM11" s="51"/>
      <c r="DN11" s="51"/>
      <c r="DT11" s="51"/>
      <c r="DU11" s="51"/>
      <c r="EA11" s="51"/>
      <c r="EB11" s="51"/>
      <c r="EH11" s="51"/>
      <c r="EI11" s="51"/>
      <c r="EO11" s="51"/>
      <c r="EP11" s="51"/>
      <c r="EV11" s="51"/>
      <c r="EW11" s="51"/>
      <c r="FC11" s="51"/>
      <c r="FD11" s="51"/>
      <c r="FJ11" s="51"/>
      <c r="FK11" s="51"/>
      <c r="FQ11" s="51"/>
      <c r="FR11" s="51"/>
      <c r="FX11" s="51"/>
      <c r="FY11" s="51"/>
      <c r="GE11" s="51"/>
      <c r="GF11" s="51"/>
      <c r="GL11" s="51"/>
      <c r="GM11" s="51"/>
      <c r="GS11" s="51"/>
      <c r="GT11" s="51"/>
      <c r="GZ11" s="51"/>
      <c r="HA11" s="51"/>
      <c r="HG11" s="51"/>
      <c r="HH11" s="51"/>
      <c r="HN11" s="51"/>
      <c r="HO11" s="51"/>
    </row>
    <row r="12" customFormat="false" ht="15" hidden="false" customHeight="false" outlineLevel="0" collapsed="false">
      <c r="A12" s="0" t="str">
        <f aca="false">'Schedule Engine'!B11</f>
        <v>IW10</v>
      </c>
      <c r="B12" s="0" t="str">
        <f aca="false">'Schedule Engine'!E11</f>
        <v>Plumbing Pre</v>
      </c>
      <c r="C12" s="0" t="str">
        <f aca="false">'Schedule Engine'!F11</f>
        <v>Hays</v>
      </c>
      <c r="D12" s="0" t="str">
        <f aca="false">'Schedule Engine'!G11</f>
        <v>Hays</v>
      </c>
      <c r="E12" s="34" t="n">
        <f aca="false">'Schedule Engine'!N11</f>
        <v>46160</v>
      </c>
      <c r="F12" s="34" t="n">
        <f aca="false">'Schedule Engine'!O11</f>
        <v>46164</v>
      </c>
      <c r="G12" s="0" t="n">
        <f aca="false">'Schedule Engine'!K11</f>
        <v>5</v>
      </c>
      <c r="H12" s="0" t="n">
        <f aca="false">'Schedule Engine'!P11</f>
        <v>0</v>
      </c>
      <c r="L12" s="51"/>
      <c r="M12" s="51"/>
      <c r="S12" s="51"/>
      <c r="T12" s="51"/>
      <c r="Z12" s="51"/>
      <c r="AA12" s="51"/>
      <c r="AG12" s="51"/>
      <c r="AH12" s="51"/>
      <c r="AN12" s="51"/>
      <c r="AO12" s="51"/>
      <c r="AU12" s="51"/>
      <c r="AV12" s="51"/>
      <c r="BB12" s="51"/>
      <c r="BC12" s="51"/>
      <c r="BI12" s="51"/>
      <c r="BJ12" s="51"/>
      <c r="BP12" s="51"/>
      <c r="BQ12" s="51"/>
      <c r="BW12" s="51"/>
      <c r="BX12" s="51"/>
      <c r="CD12" s="51"/>
      <c r="CE12" s="51"/>
      <c r="CK12" s="51"/>
      <c r="CL12" s="51"/>
      <c r="CR12" s="51"/>
      <c r="CS12" s="51"/>
      <c r="CY12" s="51"/>
      <c r="CZ12" s="51"/>
      <c r="DF12" s="51"/>
      <c r="DG12" s="51"/>
      <c r="DM12" s="51"/>
      <c r="DN12" s="51"/>
      <c r="DT12" s="51"/>
      <c r="DU12" s="51"/>
      <c r="EA12" s="51"/>
      <c r="EB12" s="51"/>
      <c r="EH12" s="51"/>
      <c r="EI12" s="51"/>
      <c r="EO12" s="51"/>
      <c r="EP12" s="51"/>
      <c r="EV12" s="51"/>
      <c r="EW12" s="51"/>
      <c r="FC12" s="51"/>
      <c r="FD12" s="51"/>
      <c r="FJ12" s="51"/>
      <c r="FK12" s="51"/>
      <c r="FQ12" s="51"/>
      <c r="FR12" s="51"/>
      <c r="FX12" s="51"/>
      <c r="FY12" s="51"/>
      <c r="GE12" s="51"/>
      <c r="GF12" s="51"/>
      <c r="GL12" s="51"/>
      <c r="GM12" s="51"/>
      <c r="GS12" s="51"/>
      <c r="GT12" s="51"/>
      <c r="GZ12" s="51"/>
      <c r="HA12" s="51"/>
      <c r="HG12" s="51"/>
      <c r="HH12" s="51"/>
      <c r="HN12" s="51"/>
      <c r="HO12" s="51"/>
    </row>
    <row r="13" customFormat="false" ht="15" hidden="false" customHeight="false" outlineLevel="0" collapsed="false">
      <c r="A13" s="0" t="str">
        <f aca="false">'Schedule Engine'!B12</f>
        <v>IW10</v>
      </c>
      <c r="B13" s="0" t="str">
        <f aca="false">'Schedule Engine'!E12</f>
        <v>Electrical Pre</v>
      </c>
      <c r="C13" s="0" t="str">
        <f aca="false">'Schedule Engine'!F12</f>
        <v>Dave Kaler</v>
      </c>
      <c r="D13" s="0" t="n">
        <f aca="false">'Schedule Engine'!G12</f>
        <v>0</v>
      </c>
      <c r="E13" s="34" t="n">
        <f aca="false">'Schedule Engine'!N12</f>
        <v>46160</v>
      </c>
      <c r="F13" s="34" t="n">
        <f aca="false">'Schedule Engine'!O12</f>
        <v>46161</v>
      </c>
      <c r="G13" s="0" t="n">
        <f aca="false">'Schedule Engine'!K12</f>
        <v>2</v>
      </c>
      <c r="H13" s="0" t="n">
        <f aca="false">'Schedule Engine'!P12</f>
        <v>0</v>
      </c>
      <c r="L13" s="51"/>
      <c r="M13" s="51"/>
      <c r="S13" s="51"/>
      <c r="T13" s="51"/>
      <c r="Z13" s="51"/>
      <c r="AA13" s="51"/>
      <c r="AG13" s="51"/>
      <c r="AH13" s="51"/>
      <c r="AN13" s="51"/>
      <c r="AO13" s="51"/>
      <c r="AU13" s="51"/>
      <c r="AV13" s="51"/>
      <c r="BB13" s="51"/>
      <c r="BC13" s="51"/>
      <c r="BI13" s="51"/>
      <c r="BJ13" s="51"/>
      <c r="BP13" s="51"/>
      <c r="BQ13" s="51"/>
      <c r="BW13" s="51"/>
      <c r="BX13" s="51"/>
      <c r="CD13" s="51"/>
      <c r="CE13" s="51"/>
      <c r="CK13" s="51"/>
      <c r="CL13" s="51"/>
      <c r="CR13" s="51"/>
      <c r="CS13" s="51"/>
      <c r="CY13" s="51"/>
      <c r="CZ13" s="51"/>
      <c r="DF13" s="51"/>
      <c r="DG13" s="51"/>
      <c r="DM13" s="51"/>
      <c r="DN13" s="51"/>
      <c r="DT13" s="51"/>
      <c r="DU13" s="51"/>
      <c r="EA13" s="51"/>
      <c r="EB13" s="51"/>
      <c r="EH13" s="51"/>
      <c r="EI13" s="51"/>
      <c r="EO13" s="51"/>
      <c r="EP13" s="51"/>
      <c r="EV13" s="51"/>
      <c r="EW13" s="51"/>
      <c r="FC13" s="51"/>
      <c r="FD13" s="51"/>
      <c r="FJ13" s="51"/>
      <c r="FK13" s="51"/>
      <c r="FQ13" s="51"/>
      <c r="FR13" s="51"/>
      <c r="FX13" s="51"/>
      <c r="FY13" s="51"/>
      <c r="GE13" s="51"/>
      <c r="GF13" s="51"/>
      <c r="GL13" s="51"/>
      <c r="GM13" s="51"/>
      <c r="GS13" s="51"/>
      <c r="GT13" s="51"/>
      <c r="GZ13" s="51"/>
      <c r="HA13" s="51"/>
      <c r="HG13" s="51"/>
      <c r="HH13" s="51"/>
      <c r="HN13" s="51"/>
      <c r="HO13" s="51"/>
    </row>
    <row r="14" customFormat="false" ht="15" hidden="false" customHeight="false" outlineLevel="0" collapsed="false">
      <c r="A14" s="0" t="str">
        <f aca="false">'Schedule Engine'!B13</f>
        <v>IW10</v>
      </c>
      <c r="B14" s="0" t="str">
        <f aca="false">'Schedule Engine'!E13</f>
        <v>Slab</v>
      </c>
      <c r="C14" s="0" t="str">
        <f aca="false">'Schedule Engine'!F13</f>
        <v>3C Concrete</v>
      </c>
      <c r="D14" s="0" t="str">
        <f aca="false">'Schedule Engine'!G13</f>
        <v>3C Concrete</v>
      </c>
      <c r="E14" s="34" t="n">
        <f aca="false">'Schedule Engine'!N13</f>
        <v>46167</v>
      </c>
      <c r="F14" s="34" t="n">
        <f aca="false">'Schedule Engine'!O13</f>
        <v>46170</v>
      </c>
      <c r="G14" s="0" t="n">
        <f aca="false">'Schedule Engine'!K13</f>
        <v>4</v>
      </c>
      <c r="H14" s="0" t="n">
        <f aca="false">'Schedule Engine'!P13</f>
        <v>0</v>
      </c>
      <c r="L14" s="51"/>
      <c r="M14" s="51"/>
      <c r="S14" s="51"/>
      <c r="T14" s="51"/>
      <c r="Z14" s="51"/>
      <c r="AA14" s="51"/>
      <c r="AG14" s="51"/>
      <c r="AH14" s="51"/>
      <c r="AN14" s="51"/>
      <c r="AO14" s="51"/>
      <c r="AU14" s="51"/>
      <c r="AV14" s="51"/>
      <c r="BB14" s="51"/>
      <c r="BC14" s="51"/>
      <c r="BI14" s="51"/>
      <c r="BJ14" s="51"/>
      <c r="BP14" s="51"/>
      <c r="BQ14" s="51"/>
      <c r="BW14" s="51"/>
      <c r="BX14" s="51"/>
      <c r="CD14" s="51"/>
      <c r="CE14" s="51"/>
      <c r="CK14" s="51"/>
      <c r="CL14" s="51"/>
      <c r="CR14" s="51"/>
      <c r="CS14" s="51"/>
      <c r="CY14" s="51"/>
      <c r="CZ14" s="51"/>
      <c r="DF14" s="51"/>
      <c r="DG14" s="51"/>
      <c r="DM14" s="51"/>
      <c r="DN14" s="51"/>
      <c r="DT14" s="51"/>
      <c r="DU14" s="51"/>
      <c r="EA14" s="51"/>
      <c r="EB14" s="51"/>
      <c r="EH14" s="51"/>
      <c r="EI14" s="51"/>
      <c r="EO14" s="51"/>
      <c r="EP14" s="51"/>
      <c r="EV14" s="51"/>
      <c r="EW14" s="51"/>
      <c r="FC14" s="51"/>
      <c r="FD14" s="51"/>
      <c r="FJ14" s="51"/>
      <c r="FK14" s="51"/>
      <c r="FQ14" s="51"/>
      <c r="FR14" s="51"/>
      <c r="FX14" s="51"/>
      <c r="FY14" s="51"/>
      <c r="GE14" s="51"/>
      <c r="GF14" s="51"/>
      <c r="GL14" s="51"/>
      <c r="GM14" s="51"/>
      <c r="GS14" s="51"/>
      <c r="GT14" s="51"/>
      <c r="GZ14" s="51"/>
      <c r="HA14" s="51"/>
      <c r="HG14" s="51"/>
      <c r="HH14" s="51"/>
      <c r="HN14" s="51"/>
      <c r="HO14" s="51"/>
    </row>
    <row r="15" customFormat="false" ht="15" hidden="false" customHeight="false" outlineLevel="0" collapsed="false">
      <c r="A15" s="0" t="str">
        <f aca="false">'Schedule Engine'!B14</f>
        <v>IW10</v>
      </c>
      <c r="B15" s="0" t="str">
        <f aca="false">'Schedule Engine'!E14</f>
        <v>Framing</v>
      </c>
      <c r="C15" s="0" t="str">
        <f aca="false">'Schedule Engine'!F14</f>
        <v>Gerardo</v>
      </c>
      <c r="D15" s="0" t="n">
        <f aca="false">'Schedule Engine'!G14</f>
        <v>0</v>
      </c>
      <c r="E15" s="34" t="n">
        <f aca="false">'Schedule Engine'!N14</f>
        <v>46171</v>
      </c>
      <c r="F15" s="34" t="n">
        <f aca="false">'Schedule Engine'!O14</f>
        <v>46212</v>
      </c>
      <c r="G15" s="0" t="n">
        <f aca="false">'Schedule Engine'!K14</f>
        <v>30</v>
      </c>
      <c r="H15" s="0" t="n">
        <f aca="false">'Schedule Engine'!P14</f>
        <v>0</v>
      </c>
      <c r="L15" s="51"/>
      <c r="M15" s="51"/>
      <c r="S15" s="51"/>
      <c r="T15" s="51"/>
      <c r="Z15" s="51"/>
      <c r="AA15" s="51"/>
      <c r="AG15" s="51"/>
      <c r="AH15" s="51"/>
      <c r="AN15" s="51"/>
      <c r="AO15" s="51"/>
      <c r="AU15" s="51"/>
      <c r="AV15" s="51"/>
      <c r="BB15" s="51"/>
      <c r="BC15" s="51"/>
      <c r="BI15" s="51"/>
      <c r="BJ15" s="51"/>
      <c r="BP15" s="51"/>
      <c r="BQ15" s="51"/>
      <c r="BW15" s="51"/>
      <c r="BX15" s="51"/>
      <c r="CD15" s="51"/>
      <c r="CE15" s="51"/>
      <c r="CK15" s="51"/>
      <c r="CL15" s="51"/>
      <c r="CR15" s="51"/>
      <c r="CS15" s="51"/>
      <c r="CY15" s="51"/>
      <c r="CZ15" s="51"/>
      <c r="DF15" s="51"/>
      <c r="DG15" s="51"/>
      <c r="DM15" s="51"/>
      <c r="DN15" s="51"/>
      <c r="DT15" s="51"/>
      <c r="DU15" s="51"/>
      <c r="EA15" s="51"/>
      <c r="EB15" s="51"/>
      <c r="EH15" s="51"/>
      <c r="EI15" s="51"/>
      <c r="EO15" s="51"/>
      <c r="EP15" s="51"/>
      <c r="EV15" s="51"/>
      <c r="EW15" s="51"/>
      <c r="FC15" s="51"/>
      <c r="FD15" s="51"/>
      <c r="FJ15" s="51"/>
      <c r="FK15" s="51"/>
      <c r="FQ15" s="51"/>
      <c r="FR15" s="51"/>
      <c r="FX15" s="51"/>
      <c r="FY15" s="51"/>
      <c r="GE15" s="51"/>
      <c r="GF15" s="51"/>
      <c r="GL15" s="51"/>
      <c r="GM15" s="51"/>
      <c r="GS15" s="51"/>
      <c r="GT15" s="51"/>
      <c r="GZ15" s="51"/>
      <c r="HA15" s="51"/>
      <c r="HG15" s="51"/>
      <c r="HH15" s="51"/>
      <c r="HN15" s="51"/>
      <c r="HO15" s="51"/>
    </row>
    <row r="16" customFormat="false" ht="15" hidden="false" customHeight="false" outlineLevel="0" collapsed="false">
      <c r="A16" s="0" t="str">
        <f aca="false">'Schedule Engine'!B15</f>
        <v>IW10</v>
      </c>
      <c r="B16" s="0" t="str">
        <f aca="false">'Schedule Engine'!E15</f>
        <v>Roofing</v>
      </c>
      <c r="C16" s="0" t="str">
        <f aca="false">'Schedule Engine'!F15</f>
        <v>Rod Smith</v>
      </c>
      <c r="D16" s="0" t="n">
        <f aca="false">'Schedule Engine'!G15</f>
        <v>0</v>
      </c>
      <c r="E16" s="34" t="n">
        <f aca="false">'Schedule Engine'!N15</f>
        <v>46213</v>
      </c>
      <c r="F16" s="34" t="n">
        <f aca="false">'Schedule Engine'!O15</f>
        <v>46218</v>
      </c>
      <c r="G16" s="0" t="n">
        <f aca="false">'Schedule Engine'!K15</f>
        <v>4</v>
      </c>
      <c r="H16" s="0" t="n">
        <f aca="false">'Schedule Engine'!P15</f>
        <v>0</v>
      </c>
      <c r="L16" s="51"/>
      <c r="M16" s="51"/>
      <c r="S16" s="51"/>
      <c r="T16" s="51"/>
      <c r="Z16" s="51"/>
      <c r="AA16" s="51"/>
      <c r="AG16" s="51"/>
      <c r="AH16" s="51"/>
      <c r="AN16" s="51"/>
      <c r="AO16" s="51"/>
      <c r="AU16" s="51"/>
      <c r="AV16" s="51"/>
      <c r="BB16" s="51"/>
      <c r="BC16" s="51"/>
      <c r="BI16" s="51"/>
      <c r="BJ16" s="51"/>
      <c r="BP16" s="51"/>
      <c r="BQ16" s="51"/>
      <c r="BW16" s="51"/>
      <c r="BX16" s="51"/>
      <c r="CD16" s="51"/>
      <c r="CE16" s="51"/>
      <c r="CK16" s="51"/>
      <c r="CL16" s="51"/>
      <c r="CR16" s="51"/>
      <c r="CS16" s="51"/>
      <c r="CY16" s="51"/>
      <c r="CZ16" s="51"/>
      <c r="DF16" s="51"/>
      <c r="DG16" s="51"/>
      <c r="DM16" s="51"/>
      <c r="DN16" s="51"/>
      <c r="DT16" s="51"/>
      <c r="DU16" s="51"/>
      <c r="EA16" s="51"/>
      <c r="EB16" s="51"/>
      <c r="EH16" s="51"/>
      <c r="EI16" s="51"/>
      <c r="EO16" s="51"/>
      <c r="EP16" s="51"/>
      <c r="EV16" s="51"/>
      <c r="EW16" s="51"/>
      <c r="FC16" s="51"/>
      <c r="FD16" s="51"/>
      <c r="FJ16" s="51"/>
      <c r="FK16" s="51"/>
      <c r="FQ16" s="51"/>
      <c r="FR16" s="51"/>
      <c r="FX16" s="51"/>
      <c r="FY16" s="51"/>
      <c r="GE16" s="51"/>
      <c r="GF16" s="51"/>
      <c r="GL16" s="51"/>
      <c r="GM16" s="51"/>
      <c r="GS16" s="51"/>
      <c r="GT16" s="51"/>
      <c r="GZ16" s="51"/>
      <c r="HA16" s="51"/>
      <c r="HG16" s="51"/>
      <c r="HH16" s="51"/>
      <c r="HN16" s="51"/>
      <c r="HO16" s="51"/>
    </row>
    <row r="17" customFormat="false" ht="15" hidden="false" customHeight="false" outlineLevel="0" collapsed="false">
      <c r="A17" s="0" t="str">
        <f aca="false">'Schedule Engine'!B16</f>
        <v>IW10</v>
      </c>
      <c r="B17" s="0" t="str">
        <f aca="false">'Schedule Engine'!E16</f>
        <v>Brick</v>
      </c>
      <c r="C17" s="0" t="str">
        <f aca="false">'Schedule Engine'!F16</f>
        <v>Julio H</v>
      </c>
      <c r="D17" s="0" t="n">
        <f aca="false">'Schedule Engine'!G16</f>
        <v>0</v>
      </c>
      <c r="E17" s="34" t="n">
        <f aca="false">'Schedule Engine'!N16</f>
        <v>46219</v>
      </c>
      <c r="F17" s="34" t="n">
        <f aca="false">'Schedule Engine'!O16</f>
        <v>46246</v>
      </c>
      <c r="G17" s="0" t="n">
        <f aca="false">'Schedule Engine'!K16</f>
        <v>20</v>
      </c>
      <c r="H17" s="0" t="n">
        <f aca="false">'Schedule Engine'!P16</f>
        <v>0</v>
      </c>
      <c r="L17" s="51"/>
      <c r="M17" s="51"/>
      <c r="S17" s="51"/>
      <c r="T17" s="51"/>
      <c r="Z17" s="51"/>
      <c r="AA17" s="51"/>
      <c r="AG17" s="51"/>
      <c r="AH17" s="51"/>
      <c r="AN17" s="51"/>
      <c r="AO17" s="51"/>
      <c r="AU17" s="51"/>
      <c r="AV17" s="51"/>
      <c r="BB17" s="51"/>
      <c r="BC17" s="51"/>
      <c r="BI17" s="51"/>
      <c r="BJ17" s="51"/>
      <c r="BP17" s="51"/>
      <c r="BQ17" s="51"/>
      <c r="BW17" s="51"/>
      <c r="BX17" s="51"/>
      <c r="CD17" s="51"/>
      <c r="CE17" s="51"/>
      <c r="CK17" s="51"/>
      <c r="CL17" s="51"/>
      <c r="CR17" s="51"/>
      <c r="CS17" s="51"/>
      <c r="CY17" s="51"/>
      <c r="CZ17" s="51"/>
      <c r="DF17" s="51"/>
      <c r="DG17" s="51"/>
      <c r="DM17" s="51"/>
      <c r="DN17" s="51"/>
      <c r="DT17" s="51"/>
      <c r="DU17" s="51"/>
      <c r="EA17" s="51"/>
      <c r="EB17" s="51"/>
      <c r="EH17" s="51"/>
      <c r="EI17" s="51"/>
      <c r="EO17" s="51"/>
      <c r="EP17" s="51"/>
      <c r="EV17" s="51"/>
      <c r="EW17" s="51"/>
      <c r="FC17" s="51"/>
      <c r="FD17" s="51"/>
      <c r="FJ17" s="51"/>
      <c r="FK17" s="51"/>
      <c r="FQ17" s="51"/>
      <c r="FR17" s="51"/>
      <c r="FX17" s="51"/>
      <c r="FY17" s="51"/>
      <c r="GE17" s="51"/>
      <c r="GF17" s="51"/>
      <c r="GL17" s="51"/>
      <c r="GM17" s="51"/>
      <c r="GS17" s="51"/>
      <c r="GT17" s="51"/>
      <c r="GZ17" s="51"/>
      <c r="HA17" s="51"/>
      <c r="HG17" s="51"/>
      <c r="HH17" s="51"/>
      <c r="HN17" s="51"/>
      <c r="HO17" s="51"/>
    </row>
    <row r="18" customFormat="false" ht="15" hidden="false" customHeight="false" outlineLevel="0" collapsed="false">
      <c r="A18" s="0" t="str">
        <f aca="false">'Schedule Engine'!B17</f>
        <v>IW10</v>
      </c>
      <c r="B18" s="0" t="str">
        <f aca="false">'Schedule Engine'!E17</f>
        <v>Stone</v>
      </c>
      <c r="C18" s="0" t="str">
        <f aca="false">'Schedule Engine'!F17</f>
        <v>Julio H</v>
      </c>
      <c r="D18" s="0" t="n">
        <f aca="false">'Schedule Engine'!G17</f>
        <v>0</v>
      </c>
      <c r="E18" s="34" t="n">
        <f aca="false">'Schedule Engine'!N17</f>
        <v>46219</v>
      </c>
      <c r="F18" s="34" t="n">
        <f aca="false">'Schedule Engine'!O17</f>
        <v>46246</v>
      </c>
      <c r="G18" s="0" t="n">
        <f aca="false">'Schedule Engine'!K17</f>
        <v>20</v>
      </c>
      <c r="H18" s="0" t="n">
        <f aca="false">'Schedule Engine'!P17</f>
        <v>0</v>
      </c>
      <c r="L18" s="51"/>
      <c r="M18" s="51"/>
      <c r="S18" s="51"/>
      <c r="T18" s="51"/>
      <c r="Z18" s="51"/>
      <c r="AA18" s="51"/>
      <c r="AG18" s="51"/>
      <c r="AH18" s="51"/>
      <c r="AN18" s="51"/>
      <c r="AO18" s="51"/>
      <c r="AU18" s="51"/>
      <c r="AV18" s="51"/>
      <c r="BB18" s="51"/>
      <c r="BC18" s="51"/>
      <c r="BI18" s="51"/>
      <c r="BJ18" s="51"/>
      <c r="BP18" s="51"/>
      <c r="BQ18" s="51"/>
      <c r="BW18" s="51"/>
      <c r="BX18" s="51"/>
      <c r="CD18" s="51"/>
      <c r="CE18" s="51"/>
      <c r="CK18" s="51"/>
      <c r="CL18" s="51"/>
      <c r="CR18" s="51"/>
      <c r="CS18" s="51"/>
      <c r="CY18" s="51"/>
      <c r="CZ18" s="51"/>
      <c r="DF18" s="51"/>
      <c r="DG18" s="51"/>
      <c r="DM18" s="51"/>
      <c r="DN18" s="51"/>
      <c r="DT18" s="51"/>
      <c r="DU18" s="51"/>
      <c r="EA18" s="51"/>
      <c r="EB18" s="51"/>
      <c r="EH18" s="51"/>
      <c r="EI18" s="51"/>
      <c r="EO18" s="51"/>
      <c r="EP18" s="51"/>
      <c r="EV18" s="51"/>
      <c r="EW18" s="51"/>
      <c r="FC18" s="51"/>
      <c r="FD18" s="51"/>
      <c r="FJ18" s="51"/>
      <c r="FK18" s="51"/>
      <c r="FQ18" s="51"/>
      <c r="FR18" s="51"/>
      <c r="FX18" s="51"/>
      <c r="FY18" s="51"/>
      <c r="GE18" s="51"/>
      <c r="GF18" s="51"/>
      <c r="GL18" s="51"/>
      <c r="GM18" s="51"/>
      <c r="GS18" s="51"/>
      <c r="GT18" s="51"/>
      <c r="GZ18" s="51"/>
      <c r="HA18" s="51"/>
      <c r="HG18" s="51"/>
      <c r="HH18" s="51"/>
      <c r="HN18" s="51"/>
      <c r="HO18" s="51"/>
    </row>
    <row r="19" customFormat="false" ht="15" hidden="false" customHeight="false" outlineLevel="0" collapsed="false">
      <c r="A19" s="0" t="str">
        <f aca="false">'Schedule Engine'!B18</f>
        <v>IW10</v>
      </c>
      <c r="B19" s="0" t="str">
        <f aca="false">'Schedule Engine'!E18</f>
        <v>Siding</v>
      </c>
      <c r="C19" s="0" t="str">
        <f aca="false">'Schedule Engine'!F18</f>
        <v>Gerardo</v>
      </c>
      <c r="D19" s="0" t="n">
        <f aca="false">'Schedule Engine'!G18</f>
        <v>0</v>
      </c>
      <c r="E19" s="34" t="n">
        <f aca="false">'Schedule Engine'!N18</f>
        <v>46219</v>
      </c>
      <c r="F19" s="34" t="n">
        <f aca="false">'Schedule Engine'!O18</f>
        <v>46246</v>
      </c>
      <c r="G19" s="0" t="n">
        <f aca="false">'Schedule Engine'!K18</f>
        <v>20</v>
      </c>
      <c r="H19" s="0" t="n">
        <f aca="false">'Schedule Engine'!P18</f>
        <v>0</v>
      </c>
      <c r="L19" s="51"/>
      <c r="M19" s="51"/>
      <c r="S19" s="51"/>
      <c r="T19" s="51"/>
      <c r="Z19" s="51"/>
      <c r="AA19" s="51"/>
      <c r="AG19" s="51"/>
      <c r="AH19" s="51"/>
      <c r="AN19" s="51"/>
      <c r="AO19" s="51"/>
      <c r="AU19" s="51"/>
      <c r="AV19" s="51"/>
      <c r="BB19" s="51"/>
      <c r="BC19" s="51"/>
      <c r="BI19" s="51"/>
      <c r="BJ19" s="51"/>
      <c r="BP19" s="51"/>
      <c r="BQ19" s="51"/>
      <c r="BW19" s="51"/>
      <c r="BX19" s="51"/>
      <c r="CD19" s="51"/>
      <c r="CE19" s="51"/>
      <c r="CK19" s="51"/>
      <c r="CL19" s="51"/>
      <c r="CR19" s="51"/>
      <c r="CS19" s="51"/>
      <c r="CY19" s="51"/>
      <c r="CZ19" s="51"/>
      <c r="DF19" s="51"/>
      <c r="DG19" s="51"/>
      <c r="DM19" s="51"/>
      <c r="DN19" s="51"/>
      <c r="DT19" s="51"/>
      <c r="DU19" s="51"/>
      <c r="EA19" s="51"/>
      <c r="EB19" s="51"/>
      <c r="EH19" s="51"/>
      <c r="EI19" s="51"/>
      <c r="EO19" s="51"/>
      <c r="EP19" s="51"/>
      <c r="EV19" s="51"/>
      <c r="EW19" s="51"/>
      <c r="FC19" s="51"/>
      <c r="FD19" s="51"/>
      <c r="FJ19" s="51"/>
      <c r="FK19" s="51"/>
      <c r="FQ19" s="51"/>
      <c r="FR19" s="51"/>
      <c r="FX19" s="51"/>
      <c r="FY19" s="51"/>
      <c r="GE19" s="51"/>
      <c r="GF19" s="51"/>
      <c r="GL19" s="51"/>
      <c r="GM19" s="51"/>
      <c r="GS19" s="51"/>
      <c r="GT19" s="51"/>
      <c r="GZ19" s="51"/>
      <c r="HA19" s="51"/>
      <c r="HG19" s="51"/>
      <c r="HH19" s="51"/>
      <c r="HN19" s="51"/>
      <c r="HO19" s="51"/>
    </row>
    <row r="20" customFormat="false" ht="15" hidden="false" customHeight="false" outlineLevel="0" collapsed="false">
      <c r="A20" s="0" t="str">
        <f aca="false">'Schedule Engine'!B19</f>
        <v>IW10</v>
      </c>
      <c r="B20" s="0" t="str">
        <f aca="false">'Schedule Engine'!E19</f>
        <v>Rough Grade</v>
      </c>
      <c r="C20" s="0" t="n">
        <f aca="false">'Schedule Engine'!F19</f>
        <v>0</v>
      </c>
      <c r="D20" s="0" t="n">
        <f aca="false">'Schedule Engine'!G19</f>
        <v>0</v>
      </c>
      <c r="E20" s="34" t="n">
        <f aca="false">'Schedule Engine'!N19</f>
        <v>46247</v>
      </c>
      <c r="F20" s="34" t="n">
        <f aca="false">'Schedule Engine'!O19</f>
        <v>46248</v>
      </c>
      <c r="G20" s="0" t="n">
        <f aca="false">'Schedule Engine'!K19</f>
        <v>2</v>
      </c>
      <c r="H20" s="0" t="n">
        <f aca="false">'Schedule Engine'!P19</f>
        <v>0</v>
      </c>
      <c r="L20" s="51"/>
      <c r="M20" s="51"/>
      <c r="S20" s="51"/>
      <c r="T20" s="51"/>
      <c r="Z20" s="51"/>
      <c r="AA20" s="51"/>
      <c r="AG20" s="51"/>
      <c r="AH20" s="51"/>
      <c r="AN20" s="51"/>
      <c r="AO20" s="51"/>
      <c r="AU20" s="51"/>
      <c r="AV20" s="51"/>
      <c r="BB20" s="51"/>
      <c r="BC20" s="51"/>
      <c r="BI20" s="51"/>
      <c r="BJ20" s="51"/>
      <c r="BP20" s="51"/>
      <c r="BQ20" s="51"/>
      <c r="BW20" s="51"/>
      <c r="BX20" s="51"/>
      <c r="CD20" s="51"/>
      <c r="CE20" s="51"/>
      <c r="CK20" s="51"/>
      <c r="CL20" s="51"/>
      <c r="CR20" s="51"/>
      <c r="CS20" s="51"/>
      <c r="CY20" s="51"/>
      <c r="CZ20" s="51"/>
      <c r="DF20" s="51"/>
      <c r="DG20" s="51"/>
      <c r="DM20" s="51"/>
      <c r="DN20" s="51"/>
      <c r="DT20" s="51"/>
      <c r="DU20" s="51"/>
      <c r="EA20" s="51"/>
      <c r="EB20" s="51"/>
      <c r="EH20" s="51"/>
      <c r="EI20" s="51"/>
      <c r="EO20" s="51"/>
      <c r="EP20" s="51"/>
      <c r="EV20" s="51"/>
      <c r="EW20" s="51"/>
      <c r="FC20" s="51"/>
      <c r="FD20" s="51"/>
      <c r="FJ20" s="51"/>
      <c r="FK20" s="51"/>
      <c r="FQ20" s="51"/>
      <c r="FR20" s="51"/>
      <c r="FX20" s="51"/>
      <c r="FY20" s="51"/>
      <c r="GE20" s="51"/>
      <c r="GF20" s="51"/>
      <c r="GL20" s="51"/>
      <c r="GM20" s="51"/>
      <c r="GS20" s="51"/>
      <c r="GT20" s="51"/>
      <c r="GZ20" s="51"/>
      <c r="HA20" s="51"/>
      <c r="HG20" s="51"/>
      <c r="HH20" s="51"/>
      <c r="HN20" s="51"/>
      <c r="HO20" s="51"/>
    </row>
    <row r="21" customFormat="false" ht="15" hidden="false" customHeight="false" outlineLevel="0" collapsed="false">
      <c r="A21" s="0" t="str">
        <f aca="false">'Schedule Engine'!B20</f>
        <v>IW10</v>
      </c>
      <c r="B21" s="0" t="str">
        <f aca="false">'Schedule Engine'!E20</f>
        <v>Irrigation</v>
      </c>
      <c r="C21" s="0" t="str">
        <f aca="false">'Schedule Engine'!F20</f>
        <v>Ramiro</v>
      </c>
      <c r="D21" s="0" t="n">
        <f aca="false">'Schedule Engine'!G20</f>
        <v>0</v>
      </c>
      <c r="E21" s="34" t="n">
        <f aca="false">'Schedule Engine'!N20</f>
        <v>46251</v>
      </c>
      <c r="F21" s="34" t="n">
        <f aca="false">'Schedule Engine'!O20</f>
        <v>46252</v>
      </c>
      <c r="G21" s="0" t="n">
        <f aca="false">'Schedule Engine'!K20</f>
        <v>2</v>
      </c>
      <c r="H21" s="0" t="n">
        <f aca="false">'Schedule Engine'!P20</f>
        <v>0</v>
      </c>
      <c r="L21" s="51"/>
      <c r="M21" s="51"/>
      <c r="S21" s="51"/>
      <c r="T21" s="51"/>
      <c r="Z21" s="51"/>
      <c r="AA21" s="51"/>
      <c r="AG21" s="51"/>
      <c r="AH21" s="51"/>
      <c r="AN21" s="51"/>
      <c r="AO21" s="51"/>
      <c r="AU21" s="51"/>
      <c r="AV21" s="51"/>
      <c r="BB21" s="51"/>
      <c r="BC21" s="51"/>
      <c r="BI21" s="51"/>
      <c r="BJ21" s="51"/>
      <c r="BP21" s="51"/>
      <c r="BQ21" s="51"/>
      <c r="BW21" s="51"/>
      <c r="BX21" s="51"/>
      <c r="CD21" s="51"/>
      <c r="CE21" s="51"/>
      <c r="CK21" s="51"/>
      <c r="CL21" s="51"/>
      <c r="CR21" s="51"/>
      <c r="CS21" s="51"/>
      <c r="CY21" s="51"/>
      <c r="CZ21" s="51"/>
      <c r="DF21" s="51"/>
      <c r="DG21" s="51"/>
      <c r="DM21" s="51"/>
      <c r="DN21" s="51"/>
      <c r="DT21" s="51"/>
      <c r="DU21" s="51"/>
      <c r="EA21" s="51"/>
      <c r="EB21" s="51"/>
      <c r="EH21" s="51"/>
      <c r="EI21" s="51"/>
      <c r="EO21" s="51"/>
      <c r="EP21" s="51"/>
      <c r="EV21" s="51"/>
      <c r="EW21" s="51"/>
      <c r="FC21" s="51"/>
      <c r="FD21" s="51"/>
      <c r="FJ21" s="51"/>
      <c r="FK21" s="51"/>
      <c r="FQ21" s="51"/>
      <c r="FR21" s="51"/>
      <c r="FX21" s="51"/>
      <c r="FY21" s="51"/>
      <c r="GE21" s="51"/>
      <c r="GF21" s="51"/>
      <c r="GL21" s="51"/>
      <c r="GM21" s="51"/>
      <c r="GS21" s="51"/>
      <c r="GT21" s="51"/>
      <c r="GZ21" s="51"/>
      <c r="HA21" s="51"/>
      <c r="HG21" s="51"/>
      <c r="HH21" s="51"/>
      <c r="HN21" s="51"/>
      <c r="HO21" s="51"/>
    </row>
    <row r="22" customFormat="false" ht="15" hidden="false" customHeight="false" outlineLevel="0" collapsed="false">
      <c r="A22" s="0" t="str">
        <f aca="false">'Schedule Engine'!B21</f>
        <v>IW10</v>
      </c>
      <c r="B22" s="0" t="str">
        <f aca="false">'Schedule Engine'!E21</f>
        <v>Finish Grade</v>
      </c>
      <c r="C22" s="0" t="str">
        <f aca="false">'Schedule Engine'!F21</f>
        <v>Jacob Hayden</v>
      </c>
      <c r="D22" s="0" t="n">
        <f aca="false">'Schedule Engine'!G21</f>
        <v>0</v>
      </c>
      <c r="E22" s="34" t="n">
        <f aca="false">'Schedule Engine'!N21</f>
        <v>46253</v>
      </c>
      <c r="F22" s="34" t="n">
        <f aca="false">'Schedule Engine'!O21</f>
        <v>46254</v>
      </c>
      <c r="G22" s="0" t="n">
        <f aca="false">'Schedule Engine'!K21</f>
        <v>2</v>
      </c>
      <c r="H22" s="0" t="n">
        <f aca="false">'Schedule Engine'!P21</f>
        <v>0</v>
      </c>
      <c r="L22" s="51"/>
      <c r="M22" s="51"/>
      <c r="S22" s="51"/>
      <c r="T22" s="51"/>
      <c r="Z22" s="51"/>
      <c r="AA22" s="51"/>
      <c r="AG22" s="51"/>
      <c r="AH22" s="51"/>
      <c r="AN22" s="51"/>
      <c r="AO22" s="51"/>
      <c r="AU22" s="51"/>
      <c r="AV22" s="51"/>
      <c r="BB22" s="51"/>
      <c r="BC22" s="51"/>
      <c r="BI22" s="51"/>
      <c r="BJ22" s="51"/>
      <c r="BP22" s="51"/>
      <c r="BQ22" s="51"/>
      <c r="BW22" s="51"/>
      <c r="BX22" s="51"/>
      <c r="CD22" s="51"/>
      <c r="CE22" s="51"/>
      <c r="CK22" s="51"/>
      <c r="CL22" s="51"/>
      <c r="CR22" s="51"/>
      <c r="CS22" s="51"/>
      <c r="CY22" s="51"/>
      <c r="CZ22" s="51"/>
      <c r="DF22" s="51"/>
      <c r="DG22" s="51"/>
      <c r="DM22" s="51"/>
      <c r="DN22" s="51"/>
      <c r="DT22" s="51"/>
      <c r="DU22" s="51"/>
      <c r="EA22" s="51"/>
      <c r="EB22" s="51"/>
      <c r="EH22" s="51"/>
      <c r="EI22" s="51"/>
      <c r="EO22" s="51"/>
      <c r="EP22" s="51"/>
      <c r="EV22" s="51"/>
      <c r="EW22" s="51"/>
      <c r="FC22" s="51"/>
      <c r="FD22" s="51"/>
      <c r="FJ22" s="51"/>
      <c r="FK22" s="51"/>
      <c r="FQ22" s="51"/>
      <c r="FR22" s="51"/>
      <c r="FX22" s="51"/>
      <c r="FY22" s="51"/>
      <c r="GE22" s="51"/>
      <c r="GF22" s="51"/>
      <c r="GL22" s="51"/>
      <c r="GM22" s="51"/>
      <c r="GS22" s="51"/>
      <c r="GT22" s="51"/>
      <c r="GZ22" s="51"/>
      <c r="HA22" s="51"/>
      <c r="HG22" s="51"/>
      <c r="HH22" s="51"/>
      <c r="HN22" s="51"/>
      <c r="HO22" s="51"/>
    </row>
    <row r="23" customFormat="false" ht="15" hidden="false" customHeight="false" outlineLevel="0" collapsed="false">
      <c r="A23" s="0" t="str">
        <f aca="false">'Schedule Engine'!B22</f>
        <v>IW10</v>
      </c>
      <c r="B23" s="0" t="str">
        <f aca="false">'Schedule Engine'!E22</f>
        <v>Landscaping</v>
      </c>
      <c r="C23" s="0" t="str">
        <f aca="false">'Schedule Engine'!F22</f>
        <v>Jacob Hayden</v>
      </c>
      <c r="D23" s="0" t="n">
        <f aca="false">'Schedule Engine'!G22</f>
        <v>0</v>
      </c>
      <c r="E23" s="34" t="n">
        <f aca="false">'Schedule Engine'!N22</f>
        <v>46253</v>
      </c>
      <c r="F23" s="34" t="n">
        <f aca="false">'Schedule Engine'!O22</f>
        <v>46254</v>
      </c>
      <c r="G23" s="0" t="n">
        <f aca="false">'Schedule Engine'!K22</f>
        <v>2</v>
      </c>
      <c r="H23" s="0" t="n">
        <f aca="false">'Schedule Engine'!P22</f>
        <v>0</v>
      </c>
      <c r="L23" s="51"/>
      <c r="M23" s="51"/>
      <c r="S23" s="51"/>
      <c r="T23" s="51"/>
      <c r="Z23" s="51"/>
      <c r="AA23" s="51"/>
      <c r="AG23" s="51"/>
      <c r="AH23" s="51"/>
      <c r="AN23" s="51"/>
      <c r="AO23" s="51"/>
      <c r="AU23" s="51"/>
      <c r="AV23" s="51"/>
      <c r="BB23" s="51"/>
      <c r="BC23" s="51"/>
      <c r="BI23" s="51"/>
      <c r="BJ23" s="51"/>
      <c r="BP23" s="51"/>
      <c r="BQ23" s="51"/>
      <c r="BW23" s="51"/>
      <c r="BX23" s="51"/>
      <c r="CD23" s="51"/>
      <c r="CE23" s="51"/>
      <c r="CK23" s="51"/>
      <c r="CL23" s="51"/>
      <c r="CR23" s="51"/>
      <c r="CS23" s="51"/>
      <c r="CY23" s="51"/>
      <c r="CZ23" s="51"/>
      <c r="DF23" s="51"/>
      <c r="DG23" s="51"/>
      <c r="DM23" s="51"/>
      <c r="DN23" s="51"/>
      <c r="DT23" s="51"/>
      <c r="DU23" s="51"/>
      <c r="EA23" s="51"/>
      <c r="EB23" s="51"/>
      <c r="EH23" s="51"/>
      <c r="EI23" s="51"/>
      <c r="EO23" s="51"/>
      <c r="EP23" s="51"/>
      <c r="EV23" s="51"/>
      <c r="EW23" s="51"/>
      <c r="FC23" s="51"/>
      <c r="FD23" s="51"/>
      <c r="FJ23" s="51"/>
      <c r="FK23" s="51"/>
      <c r="FQ23" s="51"/>
      <c r="FR23" s="51"/>
      <c r="FX23" s="51"/>
      <c r="FY23" s="51"/>
      <c r="GE23" s="51"/>
      <c r="GF23" s="51"/>
      <c r="GL23" s="51"/>
      <c r="GM23" s="51"/>
      <c r="GS23" s="51"/>
      <c r="GT23" s="51"/>
      <c r="GZ23" s="51"/>
      <c r="HA23" s="51"/>
      <c r="HG23" s="51"/>
      <c r="HH23" s="51"/>
      <c r="HN23" s="51"/>
      <c r="HO23" s="51"/>
    </row>
    <row r="24" customFormat="false" ht="15" hidden="false" customHeight="false" outlineLevel="0" collapsed="false">
      <c r="A24" s="0" t="str">
        <f aca="false">'Schedule Engine'!B23</f>
        <v>IW10</v>
      </c>
      <c r="B24" s="0" t="str">
        <f aca="false">'Schedule Engine'!E23</f>
        <v>Lawn Seeding</v>
      </c>
      <c r="C24" s="0" t="str">
        <f aca="false">'Schedule Engine'!F23</f>
        <v>TruGreen</v>
      </c>
      <c r="D24" s="0" t="n">
        <f aca="false">'Schedule Engine'!G23</f>
        <v>0</v>
      </c>
      <c r="E24" s="34" t="n">
        <f aca="false">'Schedule Engine'!N23</f>
        <v>46255</v>
      </c>
      <c r="F24" s="34" t="n">
        <f aca="false">'Schedule Engine'!O23</f>
        <v>46258</v>
      </c>
      <c r="G24" s="0" t="n">
        <f aca="false">'Schedule Engine'!K23</f>
        <v>2</v>
      </c>
      <c r="H24" s="0" t="n">
        <f aca="false">'Schedule Engine'!P23</f>
        <v>0</v>
      </c>
      <c r="L24" s="51"/>
      <c r="M24" s="51"/>
      <c r="S24" s="51"/>
      <c r="T24" s="51"/>
      <c r="Z24" s="51"/>
      <c r="AA24" s="51"/>
      <c r="AG24" s="51"/>
      <c r="AH24" s="51"/>
      <c r="AN24" s="51"/>
      <c r="AO24" s="51"/>
      <c r="AU24" s="51"/>
      <c r="AV24" s="51"/>
      <c r="BB24" s="51"/>
      <c r="BC24" s="51"/>
      <c r="BI24" s="51"/>
      <c r="BJ24" s="51"/>
      <c r="BP24" s="51"/>
      <c r="BQ24" s="51"/>
      <c r="BW24" s="51"/>
      <c r="BX24" s="51"/>
      <c r="CD24" s="51"/>
      <c r="CE24" s="51"/>
      <c r="CK24" s="51"/>
      <c r="CL24" s="51"/>
      <c r="CR24" s="51"/>
      <c r="CS24" s="51"/>
      <c r="CY24" s="51"/>
      <c r="CZ24" s="51"/>
      <c r="DF24" s="51"/>
      <c r="DG24" s="51"/>
      <c r="DM24" s="51"/>
      <c r="DN24" s="51"/>
      <c r="DT24" s="51"/>
      <c r="DU24" s="51"/>
      <c r="EA24" s="51"/>
      <c r="EB24" s="51"/>
      <c r="EH24" s="51"/>
      <c r="EI24" s="51"/>
      <c r="EO24" s="51"/>
      <c r="EP24" s="51"/>
      <c r="EV24" s="51"/>
      <c r="EW24" s="51"/>
      <c r="FC24" s="51"/>
      <c r="FD24" s="51"/>
      <c r="FJ24" s="51"/>
      <c r="FK24" s="51"/>
      <c r="FQ24" s="51"/>
      <c r="FR24" s="51"/>
      <c r="FX24" s="51"/>
      <c r="FY24" s="51"/>
      <c r="GE24" s="51"/>
      <c r="GF24" s="51"/>
      <c r="GL24" s="51"/>
      <c r="GM24" s="51"/>
      <c r="GS24" s="51"/>
      <c r="GT24" s="51"/>
      <c r="GZ24" s="51"/>
      <c r="HA24" s="51"/>
      <c r="HG24" s="51"/>
      <c r="HH24" s="51"/>
      <c r="HN24" s="51"/>
      <c r="HO24" s="51"/>
    </row>
    <row r="25" customFormat="false" ht="15" hidden="false" customHeight="false" outlineLevel="0" collapsed="false">
      <c r="A25" s="0" t="str">
        <f aca="false">'Schedule Engine'!B24</f>
        <v>IW10</v>
      </c>
      <c r="B25" s="0" t="str">
        <f aca="false">'Schedule Engine'!E24</f>
        <v>Gutter drains</v>
      </c>
      <c r="C25" s="0" t="n">
        <f aca="false">'Schedule Engine'!F24</f>
        <v>0</v>
      </c>
      <c r="D25" s="0" t="n">
        <f aca="false">'Schedule Engine'!G24</f>
        <v>0</v>
      </c>
      <c r="E25" s="34" t="n">
        <f aca="false">'Schedule Engine'!N24</f>
        <v>46251</v>
      </c>
      <c r="F25" s="34" t="n">
        <f aca="false">'Schedule Engine'!O24</f>
        <v>46252</v>
      </c>
      <c r="G25" s="0" t="n">
        <f aca="false">'Schedule Engine'!K24</f>
        <v>2</v>
      </c>
      <c r="H25" s="0" t="n">
        <f aca="false">'Schedule Engine'!P24</f>
        <v>0</v>
      </c>
      <c r="L25" s="51"/>
      <c r="M25" s="51"/>
      <c r="S25" s="51"/>
      <c r="T25" s="51"/>
      <c r="Z25" s="51"/>
      <c r="AA25" s="51"/>
      <c r="AG25" s="51"/>
      <c r="AH25" s="51"/>
      <c r="AN25" s="51"/>
      <c r="AO25" s="51"/>
      <c r="AU25" s="51"/>
      <c r="AV25" s="51"/>
      <c r="BB25" s="51"/>
      <c r="BC25" s="51"/>
      <c r="BI25" s="51"/>
      <c r="BJ25" s="51"/>
      <c r="BP25" s="51"/>
      <c r="BQ25" s="51"/>
      <c r="BW25" s="51"/>
      <c r="BX25" s="51"/>
      <c r="CD25" s="51"/>
      <c r="CE25" s="51"/>
      <c r="CK25" s="51"/>
      <c r="CL25" s="51"/>
      <c r="CR25" s="51"/>
      <c r="CS25" s="51"/>
      <c r="CY25" s="51"/>
      <c r="CZ25" s="51"/>
      <c r="DF25" s="51"/>
      <c r="DG25" s="51"/>
      <c r="DM25" s="51"/>
      <c r="DN25" s="51"/>
      <c r="DT25" s="51"/>
      <c r="DU25" s="51"/>
      <c r="EA25" s="51"/>
      <c r="EB25" s="51"/>
      <c r="EH25" s="51"/>
      <c r="EI25" s="51"/>
      <c r="EO25" s="51"/>
      <c r="EP25" s="51"/>
      <c r="EV25" s="51"/>
      <c r="EW25" s="51"/>
      <c r="FC25" s="51"/>
      <c r="FD25" s="51"/>
      <c r="FJ25" s="51"/>
      <c r="FK25" s="51"/>
      <c r="FQ25" s="51"/>
      <c r="FR25" s="51"/>
      <c r="FX25" s="51"/>
      <c r="FY25" s="51"/>
      <c r="GE25" s="51"/>
      <c r="GF25" s="51"/>
      <c r="GL25" s="51"/>
      <c r="GM25" s="51"/>
      <c r="GS25" s="51"/>
      <c r="GT25" s="51"/>
      <c r="GZ25" s="51"/>
      <c r="HA25" s="51"/>
      <c r="HG25" s="51"/>
      <c r="HH25" s="51"/>
      <c r="HN25" s="51"/>
      <c r="HO25" s="51"/>
    </row>
    <row r="26" customFormat="false" ht="15" hidden="false" customHeight="false" outlineLevel="0" collapsed="false">
      <c r="A26" s="0" t="str">
        <f aca="false">'Schedule Engine'!B25</f>
        <v>IW10</v>
      </c>
      <c r="B26" s="0" t="str">
        <f aca="false">'Schedule Engine'!E25</f>
        <v>HVAC Rough</v>
      </c>
      <c r="C26" s="0" t="str">
        <f aca="false">'Schedule Engine'!F25</f>
        <v>Adco</v>
      </c>
      <c r="D26" s="0" t="n">
        <f aca="false">'Schedule Engine'!G25</f>
        <v>0</v>
      </c>
      <c r="E26" s="34" t="n">
        <f aca="false">'Schedule Engine'!N25</f>
        <v>46213</v>
      </c>
      <c r="F26" s="34" t="n">
        <f aca="false">'Schedule Engine'!O25</f>
        <v>46219</v>
      </c>
      <c r="G26" s="0" t="n">
        <f aca="false">'Schedule Engine'!K25</f>
        <v>5</v>
      </c>
      <c r="H26" s="0" t="n">
        <f aca="false">'Schedule Engine'!P25</f>
        <v>0</v>
      </c>
      <c r="L26" s="51"/>
      <c r="M26" s="51"/>
      <c r="S26" s="51"/>
      <c r="T26" s="51"/>
      <c r="Z26" s="51"/>
      <c r="AA26" s="51"/>
      <c r="AG26" s="51"/>
      <c r="AH26" s="51"/>
      <c r="AN26" s="51"/>
      <c r="AO26" s="51"/>
      <c r="AU26" s="51"/>
      <c r="AV26" s="51"/>
      <c r="BB26" s="51"/>
      <c r="BC26" s="51"/>
      <c r="BI26" s="51"/>
      <c r="BJ26" s="51"/>
      <c r="BP26" s="51"/>
      <c r="BQ26" s="51"/>
      <c r="BW26" s="51"/>
      <c r="BX26" s="51"/>
      <c r="CD26" s="51"/>
      <c r="CE26" s="51"/>
      <c r="CK26" s="51"/>
      <c r="CL26" s="51"/>
      <c r="CR26" s="51"/>
      <c r="CS26" s="51"/>
      <c r="CY26" s="51"/>
      <c r="CZ26" s="51"/>
      <c r="DF26" s="51"/>
      <c r="DG26" s="51"/>
      <c r="DM26" s="51"/>
      <c r="DN26" s="51"/>
      <c r="DT26" s="51"/>
      <c r="DU26" s="51"/>
      <c r="EA26" s="51"/>
      <c r="EB26" s="51"/>
      <c r="EH26" s="51"/>
      <c r="EI26" s="51"/>
      <c r="EO26" s="51"/>
      <c r="EP26" s="51"/>
      <c r="EV26" s="51"/>
      <c r="EW26" s="51"/>
      <c r="FC26" s="51"/>
      <c r="FD26" s="51"/>
      <c r="FJ26" s="51"/>
      <c r="FK26" s="51"/>
      <c r="FQ26" s="51"/>
      <c r="FR26" s="51"/>
      <c r="FX26" s="51"/>
      <c r="FY26" s="51"/>
      <c r="GE26" s="51"/>
      <c r="GF26" s="51"/>
      <c r="GL26" s="51"/>
      <c r="GM26" s="51"/>
      <c r="GS26" s="51"/>
      <c r="GT26" s="51"/>
      <c r="GZ26" s="51"/>
      <c r="HA26" s="51"/>
      <c r="HG26" s="51"/>
      <c r="HH26" s="51"/>
      <c r="HN26" s="51"/>
      <c r="HO26" s="51"/>
    </row>
    <row r="27" customFormat="false" ht="15" hidden="false" customHeight="false" outlineLevel="0" collapsed="false">
      <c r="A27" s="0" t="str">
        <f aca="false">'Schedule Engine'!B26</f>
        <v>IW10</v>
      </c>
      <c r="B27" s="0" t="str">
        <f aca="false">'Schedule Engine'!E26</f>
        <v>Plumbing Rough</v>
      </c>
      <c r="C27" s="0" t="str">
        <f aca="false">'Schedule Engine'!F26</f>
        <v>Hays</v>
      </c>
      <c r="D27" s="0" t="str">
        <f aca="false">'Schedule Engine'!G26</f>
        <v>Hays</v>
      </c>
      <c r="E27" s="34" t="n">
        <f aca="false">'Schedule Engine'!N26</f>
        <v>46213</v>
      </c>
      <c r="F27" s="34" t="n">
        <f aca="false">'Schedule Engine'!O26</f>
        <v>46219</v>
      </c>
      <c r="G27" s="0" t="n">
        <f aca="false">'Schedule Engine'!K26</f>
        <v>5</v>
      </c>
      <c r="H27" s="0" t="n">
        <f aca="false">'Schedule Engine'!P26</f>
        <v>0</v>
      </c>
      <c r="L27" s="51"/>
      <c r="M27" s="51"/>
      <c r="S27" s="51"/>
      <c r="T27" s="51"/>
      <c r="Z27" s="51"/>
      <c r="AA27" s="51"/>
      <c r="AG27" s="51"/>
      <c r="AH27" s="51"/>
      <c r="AN27" s="51"/>
      <c r="AO27" s="51"/>
      <c r="AU27" s="51"/>
      <c r="AV27" s="51"/>
      <c r="BB27" s="51"/>
      <c r="BC27" s="51"/>
      <c r="BI27" s="51"/>
      <c r="BJ27" s="51"/>
      <c r="BP27" s="51"/>
      <c r="BQ27" s="51"/>
      <c r="BW27" s="51"/>
      <c r="BX27" s="51"/>
      <c r="CD27" s="51"/>
      <c r="CE27" s="51"/>
      <c r="CK27" s="51"/>
      <c r="CL27" s="51"/>
      <c r="CR27" s="51"/>
      <c r="CS27" s="51"/>
      <c r="CY27" s="51"/>
      <c r="CZ27" s="51"/>
      <c r="DF27" s="51"/>
      <c r="DG27" s="51"/>
      <c r="DM27" s="51"/>
      <c r="DN27" s="51"/>
      <c r="DT27" s="51"/>
      <c r="DU27" s="51"/>
      <c r="EA27" s="51"/>
      <c r="EB27" s="51"/>
      <c r="EH27" s="51"/>
      <c r="EI27" s="51"/>
      <c r="EO27" s="51"/>
      <c r="EP27" s="51"/>
      <c r="EV27" s="51"/>
      <c r="EW27" s="51"/>
      <c r="FC27" s="51"/>
      <c r="FD27" s="51"/>
      <c r="FJ27" s="51"/>
      <c r="FK27" s="51"/>
      <c r="FQ27" s="51"/>
      <c r="FR27" s="51"/>
      <c r="FX27" s="51"/>
      <c r="FY27" s="51"/>
      <c r="GE27" s="51"/>
      <c r="GF27" s="51"/>
      <c r="GL27" s="51"/>
      <c r="GM27" s="51"/>
      <c r="GS27" s="51"/>
      <c r="GT27" s="51"/>
      <c r="GZ27" s="51"/>
      <c r="HA27" s="51"/>
      <c r="HG27" s="51"/>
      <c r="HH27" s="51"/>
      <c r="HN27" s="51"/>
      <c r="HO27" s="51"/>
    </row>
    <row r="28" customFormat="false" ht="15" hidden="false" customHeight="false" outlineLevel="0" collapsed="false">
      <c r="A28" s="0" t="str">
        <f aca="false">'Schedule Engine'!B27</f>
        <v>IW10</v>
      </c>
      <c r="B28" s="0" t="str">
        <f aca="false">'Schedule Engine'!E27</f>
        <v>Electrical Rough</v>
      </c>
      <c r="C28" s="0" t="str">
        <f aca="false">'Schedule Engine'!F27</f>
        <v>Dave Kaler</v>
      </c>
      <c r="D28" s="0" t="n">
        <f aca="false">'Schedule Engine'!G27</f>
        <v>0</v>
      </c>
      <c r="E28" s="34" t="n">
        <f aca="false">'Schedule Engine'!N27</f>
        <v>46213</v>
      </c>
      <c r="F28" s="34" t="n">
        <f aca="false">'Schedule Engine'!O27</f>
        <v>46226</v>
      </c>
      <c r="G28" s="0" t="n">
        <f aca="false">'Schedule Engine'!K27</f>
        <v>10</v>
      </c>
      <c r="H28" s="0" t="n">
        <f aca="false">'Schedule Engine'!P27</f>
        <v>0</v>
      </c>
      <c r="L28" s="51"/>
      <c r="M28" s="51"/>
      <c r="S28" s="51"/>
      <c r="T28" s="51"/>
      <c r="Z28" s="51"/>
      <c r="AA28" s="51"/>
      <c r="AG28" s="51"/>
      <c r="AH28" s="51"/>
      <c r="AN28" s="51"/>
      <c r="AO28" s="51"/>
      <c r="AU28" s="51"/>
      <c r="AV28" s="51"/>
      <c r="BB28" s="51"/>
      <c r="BC28" s="51"/>
      <c r="BI28" s="51"/>
      <c r="BJ28" s="51"/>
      <c r="BP28" s="51"/>
      <c r="BQ28" s="51"/>
      <c r="BW28" s="51"/>
      <c r="BX28" s="51"/>
      <c r="CD28" s="51"/>
      <c r="CE28" s="51"/>
      <c r="CK28" s="51"/>
      <c r="CL28" s="51"/>
      <c r="CR28" s="51"/>
      <c r="CS28" s="51"/>
      <c r="CY28" s="51"/>
      <c r="CZ28" s="51"/>
      <c r="DF28" s="51"/>
      <c r="DG28" s="51"/>
      <c r="DM28" s="51"/>
      <c r="DN28" s="51"/>
      <c r="DT28" s="51"/>
      <c r="DU28" s="51"/>
      <c r="EA28" s="51"/>
      <c r="EB28" s="51"/>
      <c r="EH28" s="51"/>
      <c r="EI28" s="51"/>
      <c r="EO28" s="51"/>
      <c r="EP28" s="51"/>
      <c r="EV28" s="51"/>
      <c r="EW28" s="51"/>
      <c r="FC28" s="51"/>
      <c r="FD28" s="51"/>
      <c r="FJ28" s="51"/>
      <c r="FK28" s="51"/>
      <c r="FQ28" s="51"/>
      <c r="FR28" s="51"/>
      <c r="FX28" s="51"/>
      <c r="FY28" s="51"/>
      <c r="GE28" s="51"/>
      <c r="GF28" s="51"/>
      <c r="GL28" s="51"/>
      <c r="GM28" s="51"/>
      <c r="GS28" s="51"/>
      <c r="GT28" s="51"/>
      <c r="GZ28" s="51"/>
      <c r="HA28" s="51"/>
      <c r="HG28" s="51"/>
      <c r="HH28" s="51"/>
      <c r="HN28" s="51"/>
      <c r="HO28" s="51"/>
    </row>
    <row r="29" customFormat="false" ht="15" hidden="false" customHeight="false" outlineLevel="0" collapsed="false">
      <c r="A29" s="0" t="str">
        <f aca="false">'Schedule Engine'!B28</f>
        <v>IW10</v>
      </c>
      <c r="B29" s="0" t="str">
        <f aca="false">'Schedule Engine'!E28</f>
        <v>Insulation Walls</v>
      </c>
      <c r="C29" s="0" t="str">
        <f aca="false">'Schedule Engine'!F28</f>
        <v>Tyler Champion</v>
      </c>
      <c r="D29" s="0" t="n">
        <f aca="false">'Schedule Engine'!G28</f>
        <v>0</v>
      </c>
      <c r="E29" s="34" t="n">
        <f aca="false">'Schedule Engine'!N28</f>
        <v>46227</v>
      </c>
      <c r="F29" s="34" t="n">
        <f aca="false">'Schedule Engine'!O28</f>
        <v>46230</v>
      </c>
      <c r="G29" s="0" t="n">
        <f aca="false">'Schedule Engine'!K28</f>
        <v>2</v>
      </c>
      <c r="H29" s="0" t="n">
        <f aca="false">'Schedule Engine'!P28</f>
        <v>0</v>
      </c>
      <c r="L29" s="51"/>
      <c r="M29" s="51"/>
      <c r="S29" s="51"/>
      <c r="T29" s="51"/>
      <c r="Z29" s="51"/>
      <c r="AA29" s="51"/>
      <c r="AG29" s="51"/>
      <c r="AH29" s="51"/>
      <c r="AN29" s="51"/>
      <c r="AO29" s="51"/>
      <c r="AU29" s="51"/>
      <c r="AV29" s="51"/>
      <c r="BB29" s="51"/>
      <c r="BC29" s="51"/>
      <c r="BI29" s="51"/>
      <c r="BJ29" s="51"/>
      <c r="BP29" s="51"/>
      <c r="BQ29" s="51"/>
      <c r="BW29" s="51"/>
      <c r="BX29" s="51"/>
      <c r="CD29" s="51"/>
      <c r="CE29" s="51"/>
      <c r="CK29" s="51"/>
      <c r="CL29" s="51"/>
      <c r="CR29" s="51"/>
      <c r="CS29" s="51"/>
      <c r="CY29" s="51"/>
      <c r="CZ29" s="51"/>
      <c r="DF29" s="51"/>
      <c r="DG29" s="51"/>
      <c r="DM29" s="51"/>
      <c r="DN29" s="51"/>
      <c r="DT29" s="51"/>
      <c r="DU29" s="51"/>
      <c r="EA29" s="51"/>
      <c r="EB29" s="51"/>
      <c r="EH29" s="51"/>
      <c r="EI29" s="51"/>
      <c r="EO29" s="51"/>
      <c r="EP29" s="51"/>
      <c r="EV29" s="51"/>
      <c r="EW29" s="51"/>
      <c r="FC29" s="51"/>
      <c r="FD29" s="51"/>
      <c r="FJ29" s="51"/>
      <c r="FK29" s="51"/>
      <c r="FQ29" s="51"/>
      <c r="FR29" s="51"/>
      <c r="FX29" s="51"/>
      <c r="FY29" s="51"/>
      <c r="GE29" s="51"/>
      <c r="GF29" s="51"/>
      <c r="GL29" s="51"/>
      <c r="GM29" s="51"/>
      <c r="GS29" s="51"/>
      <c r="GT29" s="51"/>
      <c r="GZ29" s="51"/>
      <c r="HA29" s="51"/>
      <c r="HG29" s="51"/>
      <c r="HH29" s="51"/>
      <c r="HN29" s="51"/>
      <c r="HO29" s="51"/>
    </row>
    <row r="30" customFormat="false" ht="15" hidden="false" customHeight="false" outlineLevel="0" collapsed="false">
      <c r="A30" s="0" t="str">
        <f aca="false">'Schedule Engine'!B29</f>
        <v>IW10</v>
      </c>
      <c r="B30" s="0" t="str">
        <f aca="false">'Schedule Engine'!E29</f>
        <v>Sheetrock</v>
      </c>
      <c r="C30" s="0" t="str">
        <f aca="false">'Schedule Engine'!F29</f>
        <v>Bernall Constr.</v>
      </c>
      <c r="D30" s="0" t="n">
        <f aca="false">'Schedule Engine'!G29</f>
        <v>0</v>
      </c>
      <c r="E30" s="34" t="n">
        <f aca="false">'Schedule Engine'!N29</f>
        <v>46231</v>
      </c>
      <c r="F30" s="34" t="n">
        <f aca="false">'Schedule Engine'!O29</f>
        <v>46251</v>
      </c>
      <c r="G30" s="0" t="n">
        <f aca="false">'Schedule Engine'!K29</f>
        <v>15</v>
      </c>
      <c r="H30" s="0" t="n">
        <f aca="false">'Schedule Engine'!P29</f>
        <v>0</v>
      </c>
      <c r="L30" s="51"/>
      <c r="M30" s="51"/>
      <c r="S30" s="51"/>
      <c r="T30" s="51"/>
      <c r="Z30" s="51"/>
      <c r="AA30" s="51"/>
      <c r="AG30" s="51"/>
      <c r="AH30" s="51"/>
      <c r="AN30" s="51"/>
      <c r="AO30" s="51"/>
      <c r="AU30" s="51"/>
      <c r="AV30" s="51"/>
      <c r="BB30" s="51"/>
      <c r="BC30" s="51"/>
      <c r="BI30" s="51"/>
      <c r="BJ30" s="51"/>
      <c r="BP30" s="51"/>
      <c r="BQ30" s="51"/>
      <c r="BW30" s="51"/>
      <c r="BX30" s="51"/>
      <c r="CD30" s="51"/>
      <c r="CE30" s="51"/>
      <c r="CK30" s="51"/>
      <c r="CL30" s="51"/>
      <c r="CR30" s="51"/>
      <c r="CS30" s="51"/>
      <c r="CY30" s="51"/>
      <c r="CZ30" s="51"/>
      <c r="DF30" s="51"/>
      <c r="DG30" s="51"/>
      <c r="DM30" s="51"/>
      <c r="DN30" s="51"/>
      <c r="DT30" s="51"/>
      <c r="DU30" s="51"/>
      <c r="EA30" s="51"/>
      <c r="EB30" s="51"/>
      <c r="EH30" s="51"/>
      <c r="EI30" s="51"/>
      <c r="EO30" s="51"/>
      <c r="EP30" s="51"/>
      <c r="EV30" s="51"/>
      <c r="EW30" s="51"/>
      <c r="FC30" s="51"/>
      <c r="FD30" s="51"/>
      <c r="FJ30" s="51"/>
      <c r="FK30" s="51"/>
      <c r="FQ30" s="51"/>
      <c r="FR30" s="51"/>
      <c r="FX30" s="51"/>
      <c r="FY30" s="51"/>
      <c r="GE30" s="51"/>
      <c r="GF30" s="51"/>
      <c r="GL30" s="51"/>
      <c r="GM30" s="51"/>
      <c r="GS30" s="51"/>
      <c r="GT30" s="51"/>
      <c r="GZ30" s="51"/>
      <c r="HA30" s="51"/>
      <c r="HG30" s="51"/>
      <c r="HH30" s="51"/>
      <c r="HN30" s="51"/>
      <c r="HO30" s="51"/>
    </row>
    <row r="31" customFormat="false" ht="15" hidden="false" customHeight="false" outlineLevel="0" collapsed="false">
      <c r="A31" s="0" t="str">
        <f aca="false">'Schedule Engine'!B30</f>
        <v>IW10</v>
      </c>
      <c r="B31" s="0" t="str">
        <f aca="false">'Schedule Engine'!E30</f>
        <v>Painting Primer</v>
      </c>
      <c r="C31" s="0" t="str">
        <f aca="false">'Schedule Engine'!F30</f>
        <v>L&amp;L Painting</v>
      </c>
      <c r="D31" s="0" t="n">
        <f aca="false">'Schedule Engine'!G30</f>
        <v>0</v>
      </c>
      <c r="E31" s="34" t="n">
        <f aca="false">'Schedule Engine'!N30</f>
        <v>46252</v>
      </c>
      <c r="F31" s="34" t="n">
        <f aca="false">'Schedule Engine'!O30</f>
        <v>46254</v>
      </c>
      <c r="G31" s="0" t="n">
        <f aca="false">'Schedule Engine'!K30</f>
        <v>3</v>
      </c>
      <c r="H31" s="0" t="n">
        <f aca="false">'Schedule Engine'!P30</f>
        <v>0</v>
      </c>
      <c r="L31" s="51"/>
      <c r="M31" s="51"/>
      <c r="S31" s="51"/>
      <c r="T31" s="51"/>
      <c r="Z31" s="51"/>
      <c r="AA31" s="51"/>
      <c r="AG31" s="51"/>
      <c r="AH31" s="51"/>
      <c r="AN31" s="51"/>
      <c r="AO31" s="51"/>
      <c r="AU31" s="51"/>
      <c r="AV31" s="51"/>
      <c r="BB31" s="51"/>
      <c r="BC31" s="51"/>
      <c r="BI31" s="51"/>
      <c r="BJ31" s="51"/>
      <c r="BP31" s="51"/>
      <c r="BQ31" s="51"/>
      <c r="BW31" s="51"/>
      <c r="BX31" s="51"/>
      <c r="CD31" s="51"/>
      <c r="CE31" s="51"/>
      <c r="CK31" s="51"/>
      <c r="CL31" s="51"/>
      <c r="CR31" s="51"/>
      <c r="CS31" s="51"/>
      <c r="CY31" s="51"/>
      <c r="CZ31" s="51"/>
      <c r="DF31" s="51"/>
      <c r="DG31" s="51"/>
      <c r="DM31" s="51"/>
      <c r="DN31" s="51"/>
      <c r="DT31" s="51"/>
      <c r="DU31" s="51"/>
      <c r="EA31" s="51"/>
      <c r="EB31" s="51"/>
      <c r="EH31" s="51"/>
      <c r="EI31" s="51"/>
      <c r="EO31" s="51"/>
      <c r="EP31" s="51"/>
      <c r="EV31" s="51"/>
      <c r="EW31" s="51"/>
      <c r="FC31" s="51"/>
      <c r="FD31" s="51"/>
      <c r="FJ31" s="51"/>
      <c r="FK31" s="51"/>
      <c r="FQ31" s="51"/>
      <c r="FR31" s="51"/>
      <c r="FX31" s="51"/>
      <c r="FY31" s="51"/>
      <c r="GE31" s="51"/>
      <c r="GF31" s="51"/>
      <c r="GL31" s="51"/>
      <c r="GM31" s="51"/>
      <c r="GS31" s="51"/>
      <c r="GT31" s="51"/>
      <c r="GZ31" s="51"/>
      <c r="HA31" s="51"/>
      <c r="HG31" s="51"/>
      <c r="HH31" s="51"/>
      <c r="HN31" s="51"/>
      <c r="HO31" s="51"/>
    </row>
    <row r="32" customFormat="false" ht="15" hidden="false" customHeight="false" outlineLevel="0" collapsed="false">
      <c r="A32" s="0" t="str">
        <f aca="false">'Schedule Engine'!B31</f>
        <v>IW10</v>
      </c>
      <c r="B32" s="0" t="str">
        <f aca="false">'Schedule Engine'!E31</f>
        <v>Garage Doors</v>
      </c>
      <c r="C32" s="0" t="str">
        <f aca="false">'Schedule Engine'!F31</f>
        <v>Danny Liedecher</v>
      </c>
      <c r="D32" s="0" t="n">
        <f aca="false">'Schedule Engine'!G31</f>
        <v>0</v>
      </c>
      <c r="E32" s="34" t="n">
        <f aca="false">'Schedule Engine'!N31</f>
        <v>46255</v>
      </c>
      <c r="F32" s="34" t="n">
        <f aca="false">'Schedule Engine'!O31</f>
        <v>46258</v>
      </c>
      <c r="G32" s="0" t="n">
        <f aca="false">'Schedule Engine'!K31</f>
        <v>2</v>
      </c>
      <c r="H32" s="0" t="n">
        <f aca="false">'Schedule Engine'!P31</f>
        <v>0</v>
      </c>
      <c r="L32" s="51"/>
      <c r="M32" s="51"/>
      <c r="S32" s="51"/>
      <c r="T32" s="51"/>
      <c r="Z32" s="51"/>
      <c r="AA32" s="51"/>
      <c r="AG32" s="51"/>
      <c r="AH32" s="51"/>
      <c r="AN32" s="51"/>
      <c r="AO32" s="51"/>
      <c r="AU32" s="51"/>
      <c r="AV32" s="51"/>
      <c r="BB32" s="51"/>
      <c r="BC32" s="51"/>
      <c r="BI32" s="51"/>
      <c r="BJ32" s="51"/>
      <c r="BP32" s="51"/>
      <c r="BQ32" s="51"/>
      <c r="BW32" s="51"/>
      <c r="BX32" s="51"/>
      <c r="CD32" s="51"/>
      <c r="CE32" s="51"/>
      <c r="CK32" s="51"/>
      <c r="CL32" s="51"/>
      <c r="CR32" s="51"/>
      <c r="CS32" s="51"/>
      <c r="CY32" s="51"/>
      <c r="CZ32" s="51"/>
      <c r="DF32" s="51"/>
      <c r="DG32" s="51"/>
      <c r="DM32" s="51"/>
      <c r="DN32" s="51"/>
      <c r="DT32" s="51"/>
      <c r="DU32" s="51"/>
      <c r="EA32" s="51"/>
      <c r="EB32" s="51"/>
      <c r="EH32" s="51"/>
      <c r="EI32" s="51"/>
      <c r="EO32" s="51"/>
      <c r="EP32" s="51"/>
      <c r="EV32" s="51"/>
      <c r="EW32" s="51"/>
      <c r="FC32" s="51"/>
      <c r="FD32" s="51"/>
      <c r="FJ32" s="51"/>
      <c r="FK32" s="51"/>
      <c r="FQ32" s="51"/>
      <c r="FR32" s="51"/>
      <c r="FX32" s="51"/>
      <c r="FY32" s="51"/>
      <c r="GE32" s="51"/>
      <c r="GF32" s="51"/>
      <c r="GL32" s="51"/>
      <c r="GM32" s="51"/>
      <c r="GS32" s="51"/>
      <c r="GT32" s="51"/>
      <c r="GZ32" s="51"/>
      <c r="HA32" s="51"/>
      <c r="HG32" s="51"/>
      <c r="HH32" s="51"/>
      <c r="HN32" s="51"/>
      <c r="HO32" s="51"/>
    </row>
    <row r="33" customFormat="false" ht="15" hidden="false" customHeight="false" outlineLevel="0" collapsed="false">
      <c r="A33" s="0" t="str">
        <f aca="false">'Schedule Engine'!B32</f>
        <v>IW10</v>
      </c>
      <c r="B33" s="0" t="str">
        <f aca="false">'Schedule Engine'!E32</f>
        <v>Flooring</v>
      </c>
      <c r="C33" s="0" t="str">
        <f aca="false">'Schedule Engine'!F32</f>
        <v>LW Contracting</v>
      </c>
      <c r="D33" s="0" t="n">
        <f aca="false">'Schedule Engine'!G32</f>
        <v>0</v>
      </c>
      <c r="E33" s="34" t="n">
        <f aca="false">'Schedule Engine'!N32</f>
        <v>46255</v>
      </c>
      <c r="F33" s="34" t="n">
        <f aca="false">'Schedule Engine'!O32</f>
        <v>46261</v>
      </c>
      <c r="G33" s="0" t="n">
        <f aca="false">'Schedule Engine'!K32</f>
        <v>5</v>
      </c>
      <c r="H33" s="0" t="n">
        <f aca="false">'Schedule Engine'!P32</f>
        <v>0</v>
      </c>
      <c r="L33" s="51"/>
      <c r="M33" s="51"/>
      <c r="S33" s="51"/>
      <c r="T33" s="51"/>
      <c r="Z33" s="51"/>
      <c r="AA33" s="51"/>
      <c r="AG33" s="51"/>
      <c r="AH33" s="51"/>
      <c r="AN33" s="51"/>
      <c r="AO33" s="51"/>
      <c r="AU33" s="51"/>
      <c r="AV33" s="51"/>
      <c r="BB33" s="51"/>
      <c r="BC33" s="51"/>
      <c r="BI33" s="51"/>
      <c r="BJ33" s="51"/>
      <c r="BP33" s="51"/>
      <c r="BQ33" s="51"/>
      <c r="BW33" s="51"/>
      <c r="BX33" s="51"/>
      <c r="CD33" s="51"/>
      <c r="CE33" s="51"/>
      <c r="CK33" s="51"/>
      <c r="CL33" s="51"/>
      <c r="CR33" s="51"/>
      <c r="CS33" s="51"/>
      <c r="CY33" s="51"/>
      <c r="CZ33" s="51"/>
      <c r="DF33" s="51"/>
      <c r="DG33" s="51"/>
      <c r="DM33" s="51"/>
      <c r="DN33" s="51"/>
      <c r="DT33" s="51"/>
      <c r="DU33" s="51"/>
      <c r="EA33" s="51"/>
      <c r="EB33" s="51"/>
      <c r="EH33" s="51"/>
      <c r="EI33" s="51"/>
      <c r="EO33" s="51"/>
      <c r="EP33" s="51"/>
      <c r="EV33" s="51"/>
      <c r="EW33" s="51"/>
      <c r="FC33" s="51"/>
      <c r="FD33" s="51"/>
      <c r="FJ33" s="51"/>
      <c r="FK33" s="51"/>
      <c r="FQ33" s="51"/>
      <c r="FR33" s="51"/>
      <c r="FX33" s="51"/>
      <c r="FY33" s="51"/>
      <c r="GE33" s="51"/>
      <c r="GF33" s="51"/>
      <c r="GL33" s="51"/>
      <c r="GM33" s="51"/>
      <c r="GS33" s="51"/>
      <c r="GT33" s="51"/>
      <c r="GZ33" s="51"/>
      <c r="HA33" s="51"/>
      <c r="HG33" s="51"/>
      <c r="HH33" s="51"/>
      <c r="HN33" s="51"/>
      <c r="HO33" s="51"/>
    </row>
    <row r="34" customFormat="false" ht="15" hidden="false" customHeight="false" outlineLevel="0" collapsed="false">
      <c r="A34" s="0" t="str">
        <f aca="false">'Schedule Engine'!B33</f>
        <v>IW10</v>
      </c>
      <c r="B34" s="0" t="str">
        <f aca="false">'Schedule Engine'!E33</f>
        <v>Tile Work</v>
      </c>
      <c r="C34" s="0" t="str">
        <f aca="false">'Schedule Engine'!F33</f>
        <v>LW Contracting</v>
      </c>
      <c r="D34" s="0" t="n">
        <f aca="false">'Schedule Engine'!G33</f>
        <v>0</v>
      </c>
      <c r="E34" s="34" t="n">
        <f aca="false">'Schedule Engine'!N33</f>
        <v>46255</v>
      </c>
      <c r="F34" s="34" t="n">
        <f aca="false">'Schedule Engine'!O33</f>
        <v>46266</v>
      </c>
      <c r="G34" s="0" t="n">
        <f aca="false">'Schedule Engine'!K33</f>
        <v>8</v>
      </c>
      <c r="H34" s="0" t="n">
        <f aca="false">'Schedule Engine'!P33</f>
        <v>0</v>
      </c>
      <c r="L34" s="51"/>
      <c r="M34" s="51"/>
      <c r="S34" s="51"/>
      <c r="T34" s="51"/>
      <c r="Z34" s="51"/>
      <c r="AA34" s="51"/>
      <c r="AG34" s="51"/>
      <c r="AH34" s="51"/>
      <c r="AN34" s="51"/>
      <c r="AO34" s="51"/>
      <c r="AU34" s="51"/>
      <c r="AV34" s="51"/>
      <c r="BB34" s="51"/>
      <c r="BC34" s="51"/>
      <c r="BI34" s="51"/>
      <c r="BJ34" s="51"/>
      <c r="BP34" s="51"/>
      <c r="BQ34" s="51"/>
      <c r="BW34" s="51"/>
      <c r="BX34" s="51"/>
      <c r="CD34" s="51"/>
      <c r="CE34" s="51"/>
      <c r="CK34" s="51"/>
      <c r="CL34" s="51"/>
      <c r="CR34" s="51"/>
      <c r="CS34" s="51"/>
      <c r="CY34" s="51"/>
      <c r="CZ34" s="51"/>
      <c r="DF34" s="51"/>
      <c r="DG34" s="51"/>
      <c r="DM34" s="51"/>
      <c r="DN34" s="51"/>
      <c r="DT34" s="51"/>
      <c r="DU34" s="51"/>
      <c r="EA34" s="51"/>
      <c r="EB34" s="51"/>
      <c r="EH34" s="51"/>
      <c r="EI34" s="51"/>
      <c r="EO34" s="51"/>
      <c r="EP34" s="51"/>
      <c r="EV34" s="51"/>
      <c r="EW34" s="51"/>
      <c r="FC34" s="51"/>
      <c r="FD34" s="51"/>
      <c r="FJ34" s="51"/>
      <c r="FK34" s="51"/>
      <c r="FQ34" s="51"/>
      <c r="FR34" s="51"/>
      <c r="FX34" s="51"/>
      <c r="FY34" s="51"/>
      <c r="GE34" s="51"/>
      <c r="GF34" s="51"/>
      <c r="GL34" s="51"/>
      <c r="GM34" s="51"/>
      <c r="GS34" s="51"/>
      <c r="GT34" s="51"/>
      <c r="GZ34" s="51"/>
      <c r="HA34" s="51"/>
      <c r="HG34" s="51"/>
      <c r="HH34" s="51"/>
      <c r="HN34" s="51"/>
      <c r="HO34" s="51"/>
    </row>
    <row r="35" customFormat="false" ht="15" hidden="false" customHeight="false" outlineLevel="0" collapsed="false">
      <c r="A35" s="0" t="str">
        <f aca="false">'Schedule Engine'!B34</f>
        <v>IW10</v>
      </c>
      <c r="B35" s="0" t="str">
        <f aca="false">'Schedule Engine'!E34</f>
        <v>Trim Interior</v>
      </c>
      <c r="C35" s="0" t="str">
        <f aca="false">'Schedule Engine'!F34</f>
        <v>Matt Thorne</v>
      </c>
      <c r="D35" s="0" t="str">
        <f aca="false">'Schedule Engine'!G34</f>
        <v>Matt Thorne</v>
      </c>
      <c r="E35" s="34" t="n">
        <f aca="false">'Schedule Engine'!N34</f>
        <v>46262</v>
      </c>
      <c r="F35" s="34" t="n">
        <f aca="false">'Schedule Engine'!O34</f>
        <v>46289</v>
      </c>
      <c r="G35" s="0" t="n">
        <f aca="false">'Schedule Engine'!K34</f>
        <v>20</v>
      </c>
      <c r="H35" s="0" t="n">
        <f aca="false">'Schedule Engine'!P34</f>
        <v>0</v>
      </c>
      <c r="L35" s="51"/>
      <c r="M35" s="51"/>
      <c r="S35" s="51"/>
      <c r="T35" s="51"/>
      <c r="Z35" s="51"/>
      <c r="AA35" s="51"/>
      <c r="AG35" s="51"/>
      <c r="AH35" s="51"/>
      <c r="AN35" s="51"/>
      <c r="AO35" s="51"/>
      <c r="AU35" s="51"/>
      <c r="AV35" s="51"/>
      <c r="BB35" s="51"/>
      <c r="BC35" s="51"/>
      <c r="BI35" s="51"/>
      <c r="BJ35" s="51"/>
      <c r="BP35" s="51"/>
      <c r="BQ35" s="51"/>
      <c r="BW35" s="51"/>
      <c r="BX35" s="51"/>
      <c r="CD35" s="51"/>
      <c r="CE35" s="51"/>
      <c r="CK35" s="51"/>
      <c r="CL35" s="51"/>
      <c r="CR35" s="51"/>
      <c r="CS35" s="51"/>
      <c r="CY35" s="51"/>
      <c r="CZ35" s="51"/>
      <c r="DF35" s="51"/>
      <c r="DG35" s="51"/>
      <c r="DM35" s="51"/>
      <c r="DN35" s="51"/>
      <c r="DT35" s="51"/>
      <c r="DU35" s="51"/>
      <c r="EA35" s="51"/>
      <c r="EB35" s="51"/>
      <c r="EH35" s="51"/>
      <c r="EI35" s="51"/>
      <c r="EO35" s="51"/>
      <c r="EP35" s="51"/>
      <c r="EV35" s="51"/>
      <c r="EW35" s="51"/>
      <c r="FC35" s="51"/>
      <c r="FD35" s="51"/>
      <c r="FJ35" s="51"/>
      <c r="FK35" s="51"/>
      <c r="FQ35" s="51"/>
      <c r="FR35" s="51"/>
      <c r="FX35" s="51"/>
      <c r="FY35" s="51"/>
      <c r="GE35" s="51"/>
      <c r="GF35" s="51"/>
      <c r="GL35" s="51"/>
      <c r="GM35" s="51"/>
      <c r="GS35" s="51"/>
      <c r="GT35" s="51"/>
      <c r="GZ35" s="51"/>
      <c r="HA35" s="51"/>
      <c r="HG35" s="51"/>
      <c r="HH35" s="51"/>
      <c r="HN35" s="51"/>
      <c r="HO35" s="51"/>
    </row>
    <row r="36" customFormat="false" ht="15" hidden="false" customHeight="false" outlineLevel="0" collapsed="false">
      <c r="A36" s="0" t="str">
        <f aca="false">'Schedule Engine'!B35</f>
        <v>IW10</v>
      </c>
      <c r="B36" s="0" t="str">
        <f aca="false">'Schedule Engine'!E35</f>
        <v>Trim Exterior</v>
      </c>
      <c r="C36" s="0" t="str">
        <f aca="false">'Schedule Engine'!F35</f>
        <v>Matt Thorne</v>
      </c>
      <c r="D36" s="0" t="str">
        <f aca="false">'Schedule Engine'!G35</f>
        <v>Matt Thorne</v>
      </c>
      <c r="E36" s="34" t="n">
        <f aca="false">'Schedule Engine'!N35</f>
        <v>46247</v>
      </c>
      <c r="F36" s="34" t="n">
        <f aca="false">'Schedule Engine'!O35</f>
        <v>46248</v>
      </c>
      <c r="G36" s="0" t="n">
        <f aca="false">'Schedule Engine'!K35</f>
        <v>2</v>
      </c>
      <c r="H36" s="0" t="n">
        <f aca="false">'Schedule Engine'!P35</f>
        <v>0</v>
      </c>
      <c r="L36" s="51"/>
      <c r="M36" s="51"/>
      <c r="S36" s="51"/>
      <c r="T36" s="51"/>
      <c r="Z36" s="51"/>
      <c r="AA36" s="51"/>
      <c r="AG36" s="51"/>
      <c r="AH36" s="51"/>
      <c r="AN36" s="51"/>
      <c r="AO36" s="51"/>
      <c r="AU36" s="51"/>
      <c r="AV36" s="51"/>
      <c r="BB36" s="51"/>
      <c r="BC36" s="51"/>
      <c r="BI36" s="51"/>
      <c r="BJ36" s="51"/>
      <c r="BP36" s="51"/>
      <c r="BQ36" s="51"/>
      <c r="BW36" s="51"/>
      <c r="BX36" s="51"/>
      <c r="CD36" s="51"/>
      <c r="CE36" s="51"/>
      <c r="CK36" s="51"/>
      <c r="CL36" s="51"/>
      <c r="CR36" s="51"/>
      <c r="CS36" s="51"/>
      <c r="CY36" s="51"/>
      <c r="CZ36" s="51"/>
      <c r="DF36" s="51"/>
      <c r="DG36" s="51"/>
      <c r="DM36" s="51"/>
      <c r="DN36" s="51"/>
      <c r="DT36" s="51"/>
      <c r="DU36" s="51"/>
      <c r="EA36" s="51"/>
      <c r="EB36" s="51"/>
      <c r="EH36" s="51"/>
      <c r="EI36" s="51"/>
      <c r="EO36" s="51"/>
      <c r="EP36" s="51"/>
      <c r="EV36" s="51"/>
      <c r="EW36" s="51"/>
      <c r="FC36" s="51"/>
      <c r="FD36" s="51"/>
      <c r="FJ36" s="51"/>
      <c r="FK36" s="51"/>
      <c r="FQ36" s="51"/>
      <c r="FR36" s="51"/>
      <c r="FX36" s="51"/>
      <c r="FY36" s="51"/>
      <c r="GE36" s="51"/>
      <c r="GF36" s="51"/>
      <c r="GL36" s="51"/>
      <c r="GM36" s="51"/>
      <c r="GS36" s="51"/>
      <c r="GT36" s="51"/>
      <c r="GZ36" s="51"/>
      <c r="HA36" s="51"/>
      <c r="HG36" s="51"/>
      <c r="HH36" s="51"/>
      <c r="HN36" s="51"/>
      <c r="HO36" s="51"/>
    </row>
    <row r="37" customFormat="false" ht="15" hidden="false" customHeight="false" outlineLevel="0" collapsed="false">
      <c r="A37" s="0" t="str">
        <f aca="false">'Schedule Engine'!B36</f>
        <v>IW10</v>
      </c>
      <c r="B37" s="0" t="str">
        <f aca="false">'Schedule Engine'!E36</f>
        <v>Cabinets</v>
      </c>
      <c r="C37" s="0" t="str">
        <f aca="false">'Schedule Engine'!F36</f>
        <v>Whittmer</v>
      </c>
      <c r="D37" s="0" t="n">
        <f aca="false">'Schedule Engine'!G36</f>
        <v>0</v>
      </c>
      <c r="E37" s="34" t="n">
        <f aca="false">'Schedule Engine'!N36</f>
        <v>46262</v>
      </c>
      <c r="F37" s="34" t="n">
        <f aca="false">'Schedule Engine'!O36</f>
        <v>46266</v>
      </c>
      <c r="G37" s="0" t="n">
        <f aca="false">'Schedule Engine'!K36</f>
        <v>3</v>
      </c>
      <c r="H37" s="0" t="n">
        <f aca="false">'Schedule Engine'!P36</f>
        <v>0</v>
      </c>
      <c r="L37" s="51"/>
      <c r="M37" s="51"/>
      <c r="S37" s="51"/>
      <c r="T37" s="51"/>
      <c r="Z37" s="51"/>
      <c r="AA37" s="51"/>
      <c r="AG37" s="51"/>
      <c r="AH37" s="51"/>
      <c r="AN37" s="51"/>
      <c r="AO37" s="51"/>
      <c r="AU37" s="51"/>
      <c r="AV37" s="51"/>
      <c r="BB37" s="51"/>
      <c r="BC37" s="51"/>
      <c r="BI37" s="51"/>
      <c r="BJ37" s="51"/>
      <c r="BP37" s="51"/>
      <c r="BQ37" s="51"/>
      <c r="BW37" s="51"/>
      <c r="BX37" s="51"/>
      <c r="CD37" s="51"/>
      <c r="CE37" s="51"/>
      <c r="CK37" s="51"/>
      <c r="CL37" s="51"/>
      <c r="CR37" s="51"/>
      <c r="CS37" s="51"/>
      <c r="CY37" s="51"/>
      <c r="CZ37" s="51"/>
      <c r="DF37" s="51"/>
      <c r="DG37" s="51"/>
      <c r="DM37" s="51"/>
      <c r="DN37" s="51"/>
      <c r="DT37" s="51"/>
      <c r="DU37" s="51"/>
      <c r="EA37" s="51"/>
      <c r="EB37" s="51"/>
      <c r="EH37" s="51"/>
      <c r="EI37" s="51"/>
      <c r="EO37" s="51"/>
      <c r="EP37" s="51"/>
      <c r="EV37" s="51"/>
      <c r="EW37" s="51"/>
      <c r="FC37" s="51"/>
      <c r="FD37" s="51"/>
      <c r="FJ37" s="51"/>
      <c r="FK37" s="51"/>
      <c r="FQ37" s="51"/>
      <c r="FR37" s="51"/>
      <c r="FX37" s="51"/>
      <c r="FY37" s="51"/>
      <c r="GE37" s="51"/>
      <c r="GF37" s="51"/>
      <c r="GL37" s="51"/>
      <c r="GM37" s="51"/>
      <c r="GS37" s="51"/>
      <c r="GT37" s="51"/>
      <c r="GZ37" s="51"/>
      <c r="HA37" s="51"/>
      <c r="HG37" s="51"/>
      <c r="HH37" s="51"/>
      <c r="HN37" s="51"/>
      <c r="HO37" s="51"/>
    </row>
    <row r="38" customFormat="false" ht="15" hidden="false" customHeight="false" outlineLevel="0" collapsed="false">
      <c r="A38" s="0" t="str">
        <f aca="false">'Schedule Engine'!B37</f>
        <v>IW10</v>
      </c>
      <c r="B38" s="0" t="str">
        <f aca="false">'Schedule Engine'!E37</f>
        <v>Countertops</v>
      </c>
      <c r="C38" s="0" t="str">
        <f aca="false">'Schedule Engine'!F37</f>
        <v>Tate Granit</v>
      </c>
      <c r="D38" s="0" t="n">
        <f aca="false">'Schedule Engine'!G37</f>
        <v>0</v>
      </c>
      <c r="E38" s="34" t="n">
        <f aca="false">'Schedule Engine'!N37</f>
        <v>46267</v>
      </c>
      <c r="F38" s="34" t="n">
        <f aca="false">'Schedule Engine'!O37</f>
        <v>46268</v>
      </c>
      <c r="G38" s="0" t="n">
        <f aca="false">'Schedule Engine'!K37</f>
        <v>2</v>
      </c>
      <c r="H38" s="0" t="n">
        <f aca="false">'Schedule Engine'!P37</f>
        <v>0</v>
      </c>
      <c r="L38" s="51"/>
      <c r="M38" s="51"/>
      <c r="S38" s="51"/>
      <c r="T38" s="51"/>
      <c r="Z38" s="51"/>
      <c r="AA38" s="51"/>
      <c r="AG38" s="51"/>
      <c r="AH38" s="51"/>
      <c r="AN38" s="51"/>
      <c r="AO38" s="51"/>
      <c r="AU38" s="51"/>
      <c r="AV38" s="51"/>
      <c r="BB38" s="51"/>
      <c r="BC38" s="51"/>
      <c r="BI38" s="51"/>
      <c r="BJ38" s="51"/>
      <c r="BP38" s="51"/>
      <c r="BQ38" s="51"/>
      <c r="BW38" s="51"/>
      <c r="BX38" s="51"/>
      <c r="CD38" s="51"/>
      <c r="CE38" s="51"/>
      <c r="CK38" s="51"/>
      <c r="CL38" s="51"/>
      <c r="CR38" s="51"/>
      <c r="CS38" s="51"/>
      <c r="CY38" s="51"/>
      <c r="CZ38" s="51"/>
      <c r="DF38" s="51"/>
      <c r="DG38" s="51"/>
      <c r="DM38" s="51"/>
      <c r="DN38" s="51"/>
      <c r="DT38" s="51"/>
      <c r="DU38" s="51"/>
      <c r="EA38" s="51"/>
      <c r="EB38" s="51"/>
      <c r="EH38" s="51"/>
      <c r="EI38" s="51"/>
      <c r="EO38" s="51"/>
      <c r="EP38" s="51"/>
      <c r="EV38" s="51"/>
      <c r="EW38" s="51"/>
      <c r="FC38" s="51"/>
      <c r="FD38" s="51"/>
      <c r="FJ38" s="51"/>
      <c r="FK38" s="51"/>
      <c r="FQ38" s="51"/>
      <c r="FR38" s="51"/>
      <c r="FX38" s="51"/>
      <c r="FY38" s="51"/>
      <c r="GE38" s="51"/>
      <c r="GF38" s="51"/>
      <c r="GL38" s="51"/>
      <c r="GM38" s="51"/>
      <c r="GS38" s="51"/>
      <c r="GT38" s="51"/>
      <c r="GZ38" s="51"/>
      <c r="HA38" s="51"/>
      <c r="HG38" s="51"/>
      <c r="HH38" s="51"/>
      <c r="HN38" s="51"/>
      <c r="HO38" s="51"/>
    </row>
    <row r="39" customFormat="false" ht="15" hidden="false" customHeight="false" outlineLevel="0" collapsed="false">
      <c r="A39" s="0" t="str">
        <f aca="false">'Schedule Engine'!B38</f>
        <v>IW10</v>
      </c>
      <c r="B39" s="0" t="str">
        <f aca="false">'Schedule Engine'!E38</f>
        <v>Painting Main</v>
      </c>
      <c r="C39" s="0" t="str">
        <f aca="false">'Schedule Engine'!F38</f>
        <v>L&amp;L Painting</v>
      </c>
      <c r="D39" s="0" t="n">
        <f aca="false">'Schedule Engine'!G38</f>
        <v>0</v>
      </c>
      <c r="E39" s="34" t="n">
        <f aca="false">'Schedule Engine'!N38</f>
        <v>46269</v>
      </c>
      <c r="F39" s="34" t="n">
        <f aca="false">'Schedule Engine'!O38</f>
        <v>46282</v>
      </c>
      <c r="G39" s="0" t="n">
        <f aca="false">'Schedule Engine'!K38</f>
        <v>10</v>
      </c>
      <c r="H39" s="0" t="n">
        <f aca="false">'Schedule Engine'!P38</f>
        <v>0</v>
      </c>
      <c r="L39" s="51"/>
      <c r="M39" s="51"/>
      <c r="S39" s="51"/>
      <c r="T39" s="51"/>
      <c r="Z39" s="51"/>
      <c r="AA39" s="51"/>
      <c r="AG39" s="51"/>
      <c r="AH39" s="51"/>
      <c r="AN39" s="51"/>
      <c r="AO39" s="51"/>
      <c r="AU39" s="51"/>
      <c r="AV39" s="51"/>
      <c r="BB39" s="51"/>
      <c r="BC39" s="51"/>
      <c r="BI39" s="51"/>
      <c r="BJ39" s="51"/>
      <c r="BP39" s="51"/>
      <c r="BQ39" s="51"/>
      <c r="BW39" s="51"/>
      <c r="BX39" s="51"/>
      <c r="CD39" s="51"/>
      <c r="CE39" s="51"/>
      <c r="CK39" s="51"/>
      <c r="CL39" s="51"/>
      <c r="CR39" s="51"/>
      <c r="CS39" s="51"/>
      <c r="CY39" s="51"/>
      <c r="CZ39" s="51"/>
      <c r="DF39" s="51"/>
      <c r="DG39" s="51"/>
      <c r="DM39" s="51"/>
      <c r="DN39" s="51"/>
      <c r="DT39" s="51"/>
      <c r="DU39" s="51"/>
      <c r="EA39" s="51"/>
      <c r="EB39" s="51"/>
      <c r="EH39" s="51"/>
      <c r="EI39" s="51"/>
      <c r="EO39" s="51"/>
      <c r="EP39" s="51"/>
      <c r="EV39" s="51"/>
      <c r="EW39" s="51"/>
      <c r="FC39" s="51"/>
      <c r="FD39" s="51"/>
      <c r="FJ39" s="51"/>
      <c r="FK39" s="51"/>
      <c r="FQ39" s="51"/>
      <c r="FR39" s="51"/>
      <c r="FX39" s="51"/>
      <c r="FY39" s="51"/>
      <c r="GE39" s="51"/>
      <c r="GF39" s="51"/>
      <c r="GL39" s="51"/>
      <c r="GM39" s="51"/>
      <c r="GS39" s="51"/>
      <c r="GT39" s="51"/>
      <c r="GZ39" s="51"/>
      <c r="HA39" s="51"/>
      <c r="HG39" s="51"/>
      <c r="HH39" s="51"/>
      <c r="HN39" s="51"/>
      <c r="HO39" s="51"/>
    </row>
    <row r="40" customFormat="false" ht="15" hidden="false" customHeight="false" outlineLevel="0" collapsed="false">
      <c r="A40" s="0" t="str">
        <f aca="false">'Schedule Engine'!B39</f>
        <v>IW10</v>
      </c>
      <c r="B40" s="0" t="str">
        <f aca="false">'Schedule Engine'!E39</f>
        <v>Appliances</v>
      </c>
      <c r="C40" s="0" t="str">
        <f aca="false">'Schedule Engine'!F39</f>
        <v>Dave Kaler</v>
      </c>
      <c r="D40" s="0" t="n">
        <f aca="false">'Schedule Engine'!G39</f>
        <v>0</v>
      </c>
      <c r="E40" s="34" t="n">
        <f aca="false">'Schedule Engine'!N39</f>
        <v>46269</v>
      </c>
      <c r="F40" s="34" t="n">
        <f aca="false">'Schedule Engine'!O39</f>
        <v>46272</v>
      </c>
      <c r="G40" s="0" t="n">
        <f aca="false">'Schedule Engine'!K39</f>
        <v>2</v>
      </c>
      <c r="H40" s="0" t="n">
        <f aca="false">'Schedule Engine'!P39</f>
        <v>0</v>
      </c>
      <c r="L40" s="51"/>
      <c r="M40" s="51"/>
      <c r="S40" s="51"/>
      <c r="T40" s="51"/>
      <c r="Z40" s="51"/>
      <c r="AA40" s="51"/>
      <c r="AG40" s="51"/>
      <c r="AH40" s="51"/>
      <c r="AN40" s="51"/>
      <c r="AO40" s="51"/>
      <c r="AU40" s="51"/>
      <c r="AV40" s="51"/>
      <c r="BB40" s="51"/>
      <c r="BC40" s="51"/>
      <c r="BI40" s="51"/>
      <c r="BJ40" s="51"/>
      <c r="BP40" s="51"/>
      <c r="BQ40" s="51"/>
      <c r="BW40" s="51"/>
      <c r="BX40" s="51"/>
      <c r="CD40" s="51"/>
      <c r="CE40" s="51"/>
      <c r="CK40" s="51"/>
      <c r="CL40" s="51"/>
      <c r="CR40" s="51"/>
      <c r="CS40" s="51"/>
      <c r="CY40" s="51"/>
      <c r="CZ40" s="51"/>
      <c r="DF40" s="51"/>
      <c r="DG40" s="51"/>
      <c r="DM40" s="51"/>
      <c r="DN40" s="51"/>
      <c r="DT40" s="51"/>
      <c r="DU40" s="51"/>
      <c r="EA40" s="51"/>
      <c r="EB40" s="51"/>
      <c r="EH40" s="51"/>
      <c r="EI40" s="51"/>
      <c r="EO40" s="51"/>
      <c r="EP40" s="51"/>
      <c r="EV40" s="51"/>
      <c r="EW40" s="51"/>
      <c r="FC40" s="51"/>
      <c r="FD40" s="51"/>
      <c r="FJ40" s="51"/>
      <c r="FK40" s="51"/>
      <c r="FQ40" s="51"/>
      <c r="FR40" s="51"/>
      <c r="FX40" s="51"/>
      <c r="FY40" s="51"/>
      <c r="GE40" s="51"/>
      <c r="GF40" s="51"/>
      <c r="GL40" s="51"/>
      <c r="GM40" s="51"/>
      <c r="GS40" s="51"/>
      <c r="GT40" s="51"/>
      <c r="GZ40" s="51"/>
      <c r="HA40" s="51"/>
      <c r="HG40" s="51"/>
      <c r="HH40" s="51"/>
      <c r="HN40" s="51"/>
      <c r="HO40" s="51"/>
    </row>
    <row r="41" customFormat="false" ht="15" hidden="false" customHeight="false" outlineLevel="0" collapsed="false">
      <c r="A41" s="0" t="str">
        <f aca="false">'Schedule Engine'!B40</f>
        <v>IW10</v>
      </c>
      <c r="B41" s="0" t="str">
        <f aca="false">'Schedule Engine'!E40</f>
        <v>HVAC Finish</v>
      </c>
      <c r="C41" s="0" t="str">
        <f aca="false">'Schedule Engine'!F40</f>
        <v>Adco</v>
      </c>
      <c r="D41" s="0" t="n">
        <f aca="false">'Schedule Engine'!G40</f>
        <v>0</v>
      </c>
      <c r="E41" s="34" t="n">
        <f aca="false">'Schedule Engine'!N40</f>
        <v>46283</v>
      </c>
      <c r="F41" s="34" t="n">
        <f aca="false">'Schedule Engine'!O40</f>
        <v>46286</v>
      </c>
      <c r="G41" s="0" t="n">
        <f aca="false">'Schedule Engine'!K40</f>
        <v>2</v>
      </c>
      <c r="H41" s="0" t="n">
        <f aca="false">'Schedule Engine'!P40</f>
        <v>0</v>
      </c>
      <c r="L41" s="51"/>
      <c r="M41" s="51"/>
      <c r="S41" s="51"/>
      <c r="T41" s="51"/>
      <c r="Z41" s="51"/>
      <c r="AA41" s="51"/>
      <c r="AG41" s="51"/>
      <c r="AH41" s="51"/>
      <c r="AN41" s="51"/>
      <c r="AO41" s="51"/>
      <c r="AU41" s="51"/>
      <c r="AV41" s="51"/>
      <c r="BB41" s="51"/>
      <c r="BC41" s="51"/>
      <c r="BI41" s="51"/>
      <c r="BJ41" s="51"/>
      <c r="BP41" s="51"/>
      <c r="BQ41" s="51"/>
      <c r="BW41" s="51"/>
      <c r="BX41" s="51"/>
      <c r="CD41" s="51"/>
      <c r="CE41" s="51"/>
      <c r="CK41" s="51"/>
      <c r="CL41" s="51"/>
      <c r="CR41" s="51"/>
      <c r="CS41" s="51"/>
      <c r="CY41" s="51"/>
      <c r="CZ41" s="51"/>
      <c r="DF41" s="51"/>
      <c r="DG41" s="51"/>
      <c r="DM41" s="51"/>
      <c r="DN41" s="51"/>
      <c r="DT41" s="51"/>
      <c r="DU41" s="51"/>
      <c r="EA41" s="51"/>
      <c r="EB41" s="51"/>
      <c r="EH41" s="51"/>
      <c r="EI41" s="51"/>
      <c r="EO41" s="51"/>
      <c r="EP41" s="51"/>
      <c r="EV41" s="51"/>
      <c r="EW41" s="51"/>
      <c r="FC41" s="51"/>
      <c r="FD41" s="51"/>
      <c r="FJ41" s="51"/>
      <c r="FK41" s="51"/>
      <c r="FQ41" s="51"/>
      <c r="FR41" s="51"/>
      <c r="FX41" s="51"/>
      <c r="FY41" s="51"/>
      <c r="GE41" s="51"/>
      <c r="GF41" s="51"/>
      <c r="GL41" s="51"/>
      <c r="GM41" s="51"/>
      <c r="GS41" s="51"/>
      <c r="GT41" s="51"/>
      <c r="GZ41" s="51"/>
      <c r="HA41" s="51"/>
      <c r="HG41" s="51"/>
      <c r="HH41" s="51"/>
      <c r="HN41" s="51"/>
      <c r="HO41" s="51"/>
    </row>
    <row r="42" customFormat="false" ht="15" hidden="false" customHeight="false" outlineLevel="0" collapsed="false">
      <c r="A42" s="0" t="str">
        <f aca="false">'Schedule Engine'!B41</f>
        <v>IW10</v>
      </c>
      <c r="B42" s="0" t="str">
        <f aca="false">'Schedule Engine'!E41</f>
        <v>Plumbing Finish</v>
      </c>
      <c r="C42" s="0" t="str">
        <f aca="false">'Schedule Engine'!F41</f>
        <v>Hays</v>
      </c>
      <c r="D42" s="0" t="str">
        <f aca="false">'Schedule Engine'!G41</f>
        <v>Hays</v>
      </c>
      <c r="E42" s="34" t="n">
        <f aca="false">'Schedule Engine'!N41</f>
        <v>46269</v>
      </c>
      <c r="F42" s="34" t="n">
        <f aca="false">'Schedule Engine'!O41</f>
        <v>46272</v>
      </c>
      <c r="G42" s="0" t="n">
        <f aca="false">'Schedule Engine'!K41</f>
        <v>2</v>
      </c>
      <c r="H42" s="0" t="n">
        <f aca="false">'Schedule Engine'!P41</f>
        <v>0</v>
      </c>
      <c r="L42" s="51"/>
      <c r="M42" s="51"/>
      <c r="S42" s="51"/>
      <c r="T42" s="51"/>
      <c r="Z42" s="51"/>
      <c r="AA42" s="51"/>
      <c r="AG42" s="51"/>
      <c r="AH42" s="51"/>
      <c r="AN42" s="51"/>
      <c r="AO42" s="51"/>
      <c r="AU42" s="51"/>
      <c r="AV42" s="51"/>
      <c r="BB42" s="51"/>
      <c r="BC42" s="51"/>
      <c r="BI42" s="51"/>
      <c r="BJ42" s="51"/>
      <c r="BP42" s="51"/>
      <c r="BQ42" s="51"/>
      <c r="BW42" s="51"/>
      <c r="BX42" s="51"/>
      <c r="CD42" s="51"/>
      <c r="CE42" s="51"/>
      <c r="CK42" s="51"/>
      <c r="CL42" s="51"/>
      <c r="CR42" s="51"/>
      <c r="CS42" s="51"/>
      <c r="CY42" s="51"/>
      <c r="CZ42" s="51"/>
      <c r="DF42" s="51"/>
      <c r="DG42" s="51"/>
      <c r="DM42" s="51"/>
      <c r="DN42" s="51"/>
      <c r="DT42" s="51"/>
      <c r="DU42" s="51"/>
      <c r="EA42" s="51"/>
      <c r="EB42" s="51"/>
      <c r="EH42" s="51"/>
      <c r="EI42" s="51"/>
      <c r="EO42" s="51"/>
      <c r="EP42" s="51"/>
      <c r="EV42" s="51"/>
      <c r="EW42" s="51"/>
      <c r="FC42" s="51"/>
      <c r="FD42" s="51"/>
      <c r="FJ42" s="51"/>
      <c r="FK42" s="51"/>
      <c r="FQ42" s="51"/>
      <c r="FR42" s="51"/>
      <c r="FX42" s="51"/>
      <c r="FY42" s="51"/>
      <c r="GE42" s="51"/>
      <c r="GF42" s="51"/>
      <c r="GL42" s="51"/>
      <c r="GM42" s="51"/>
      <c r="GS42" s="51"/>
      <c r="GT42" s="51"/>
      <c r="GZ42" s="51"/>
      <c r="HA42" s="51"/>
      <c r="HG42" s="51"/>
      <c r="HH42" s="51"/>
      <c r="HN42" s="51"/>
      <c r="HO42" s="51"/>
    </row>
    <row r="43" customFormat="false" ht="15" hidden="false" customHeight="false" outlineLevel="0" collapsed="false">
      <c r="A43" s="0" t="str">
        <f aca="false">'Schedule Engine'!B42</f>
        <v>IW10</v>
      </c>
      <c r="B43" s="0" t="str">
        <f aca="false">'Schedule Engine'!E42</f>
        <v>Electrical Finish</v>
      </c>
      <c r="C43" s="0" t="str">
        <f aca="false">'Schedule Engine'!F42</f>
        <v>Dave Kaler</v>
      </c>
      <c r="D43" s="0" t="n">
        <f aca="false">'Schedule Engine'!G42</f>
        <v>0</v>
      </c>
      <c r="E43" s="34" t="n">
        <f aca="false">'Schedule Engine'!N42</f>
        <v>46283</v>
      </c>
      <c r="F43" s="34" t="n">
        <f aca="false">'Schedule Engine'!O42</f>
        <v>46288</v>
      </c>
      <c r="G43" s="0" t="n">
        <f aca="false">'Schedule Engine'!K42</f>
        <v>4</v>
      </c>
      <c r="H43" s="0" t="n">
        <f aca="false">'Schedule Engine'!P42</f>
        <v>0</v>
      </c>
      <c r="L43" s="51"/>
      <c r="M43" s="51"/>
      <c r="S43" s="51"/>
      <c r="T43" s="51"/>
      <c r="Z43" s="51"/>
      <c r="AA43" s="51"/>
      <c r="AG43" s="51"/>
      <c r="AH43" s="51"/>
      <c r="AN43" s="51"/>
      <c r="AO43" s="51"/>
      <c r="AU43" s="51"/>
      <c r="AV43" s="51"/>
      <c r="BB43" s="51"/>
      <c r="BC43" s="51"/>
      <c r="BI43" s="51"/>
      <c r="BJ43" s="51"/>
      <c r="BP43" s="51"/>
      <c r="BQ43" s="51"/>
      <c r="BW43" s="51"/>
      <c r="BX43" s="51"/>
      <c r="CD43" s="51"/>
      <c r="CE43" s="51"/>
      <c r="CK43" s="51"/>
      <c r="CL43" s="51"/>
      <c r="CR43" s="51"/>
      <c r="CS43" s="51"/>
      <c r="CY43" s="51"/>
      <c r="CZ43" s="51"/>
      <c r="DF43" s="51"/>
      <c r="DG43" s="51"/>
      <c r="DM43" s="51"/>
      <c r="DN43" s="51"/>
      <c r="DT43" s="51"/>
      <c r="DU43" s="51"/>
      <c r="EA43" s="51"/>
      <c r="EB43" s="51"/>
      <c r="EH43" s="51"/>
      <c r="EI43" s="51"/>
      <c r="EO43" s="51"/>
      <c r="EP43" s="51"/>
      <c r="EV43" s="51"/>
      <c r="EW43" s="51"/>
      <c r="FC43" s="51"/>
      <c r="FD43" s="51"/>
      <c r="FJ43" s="51"/>
      <c r="FK43" s="51"/>
      <c r="FQ43" s="51"/>
      <c r="FR43" s="51"/>
      <c r="FX43" s="51"/>
      <c r="FY43" s="51"/>
      <c r="GE43" s="51"/>
      <c r="GF43" s="51"/>
      <c r="GL43" s="51"/>
      <c r="GM43" s="51"/>
      <c r="GS43" s="51"/>
      <c r="GT43" s="51"/>
      <c r="GZ43" s="51"/>
      <c r="HA43" s="51"/>
      <c r="HG43" s="51"/>
      <c r="HH43" s="51"/>
      <c r="HN43" s="51"/>
      <c r="HO43" s="51"/>
    </row>
    <row r="44" customFormat="false" ht="15" hidden="false" customHeight="false" outlineLevel="0" collapsed="false">
      <c r="A44" s="0" t="str">
        <f aca="false">'Schedule Engine'!B43</f>
        <v>IW10</v>
      </c>
      <c r="B44" s="0" t="str">
        <f aca="false">'Schedule Engine'!E43</f>
        <v>Insulation Ceiling</v>
      </c>
      <c r="C44" s="0" t="str">
        <f aca="false">'Schedule Engine'!F43</f>
        <v>Tyler Champion</v>
      </c>
      <c r="D44" s="0" t="n">
        <f aca="false">'Schedule Engine'!G43</f>
        <v>0</v>
      </c>
      <c r="E44" s="34" t="n">
        <f aca="false">'Schedule Engine'!N43</f>
        <v>46289</v>
      </c>
      <c r="F44" s="34" t="n">
        <f aca="false">'Schedule Engine'!O43</f>
        <v>46290</v>
      </c>
      <c r="G44" s="0" t="n">
        <f aca="false">'Schedule Engine'!K43</f>
        <v>2</v>
      </c>
      <c r="H44" s="0" t="n">
        <f aca="false">'Schedule Engine'!P43</f>
        <v>0</v>
      </c>
      <c r="L44" s="51"/>
      <c r="M44" s="51"/>
      <c r="S44" s="51"/>
      <c r="T44" s="51"/>
      <c r="Z44" s="51"/>
      <c r="AA44" s="51"/>
      <c r="AG44" s="51"/>
      <c r="AH44" s="51"/>
      <c r="AN44" s="51"/>
      <c r="AO44" s="51"/>
      <c r="AU44" s="51"/>
      <c r="AV44" s="51"/>
      <c r="BB44" s="51"/>
      <c r="BC44" s="51"/>
      <c r="BI44" s="51"/>
      <c r="BJ44" s="51"/>
      <c r="BP44" s="51"/>
      <c r="BQ44" s="51"/>
      <c r="BW44" s="51"/>
      <c r="BX44" s="51"/>
      <c r="CD44" s="51"/>
      <c r="CE44" s="51"/>
      <c r="CK44" s="51"/>
      <c r="CL44" s="51"/>
      <c r="CR44" s="51"/>
      <c r="CS44" s="51"/>
      <c r="CY44" s="51"/>
      <c r="CZ44" s="51"/>
      <c r="DF44" s="51"/>
      <c r="DG44" s="51"/>
      <c r="DM44" s="51"/>
      <c r="DN44" s="51"/>
      <c r="DT44" s="51"/>
      <c r="DU44" s="51"/>
      <c r="EA44" s="51"/>
      <c r="EB44" s="51"/>
      <c r="EH44" s="51"/>
      <c r="EI44" s="51"/>
      <c r="EO44" s="51"/>
      <c r="EP44" s="51"/>
      <c r="EV44" s="51"/>
      <c r="EW44" s="51"/>
      <c r="FC44" s="51"/>
      <c r="FD44" s="51"/>
      <c r="FJ44" s="51"/>
      <c r="FK44" s="51"/>
      <c r="FQ44" s="51"/>
      <c r="FR44" s="51"/>
      <c r="FX44" s="51"/>
      <c r="FY44" s="51"/>
      <c r="GE44" s="51"/>
      <c r="GF44" s="51"/>
      <c r="GL44" s="51"/>
      <c r="GM44" s="51"/>
      <c r="GS44" s="51"/>
      <c r="GT44" s="51"/>
      <c r="GZ44" s="51"/>
      <c r="HA44" s="51"/>
      <c r="HG44" s="51"/>
      <c r="HH44" s="51"/>
      <c r="HN44" s="51"/>
      <c r="HO44" s="51"/>
    </row>
    <row r="45" customFormat="false" ht="15" hidden="false" customHeight="false" outlineLevel="0" collapsed="false">
      <c r="A45" s="0" t="str">
        <f aca="false">'Schedule Engine'!B44</f>
        <v>IW10</v>
      </c>
      <c r="B45" s="0" t="str">
        <f aca="false">'Schedule Engine'!E44</f>
        <v>Painting Finish</v>
      </c>
      <c r="C45" s="0" t="str">
        <f aca="false">'Schedule Engine'!F44</f>
        <v>L&amp;L Painting</v>
      </c>
      <c r="D45" s="0" t="n">
        <f aca="false">'Schedule Engine'!G44</f>
        <v>0</v>
      </c>
      <c r="E45" s="34" t="n">
        <f aca="false">'Schedule Engine'!N44</f>
        <v>46289</v>
      </c>
      <c r="F45" s="34" t="n">
        <f aca="false">'Schedule Engine'!O44</f>
        <v>46295</v>
      </c>
      <c r="G45" s="0" t="n">
        <f aca="false">'Schedule Engine'!K44</f>
        <v>5</v>
      </c>
      <c r="H45" s="0" t="n">
        <f aca="false">'Schedule Engine'!P44</f>
        <v>0</v>
      </c>
      <c r="L45" s="51"/>
      <c r="M45" s="51"/>
      <c r="S45" s="51"/>
      <c r="T45" s="51"/>
      <c r="Z45" s="51"/>
      <c r="AA45" s="51"/>
      <c r="AG45" s="51"/>
      <c r="AH45" s="51"/>
      <c r="AN45" s="51"/>
      <c r="AO45" s="51"/>
      <c r="AU45" s="51"/>
      <c r="AV45" s="51"/>
      <c r="BB45" s="51"/>
      <c r="BC45" s="51"/>
      <c r="BI45" s="51"/>
      <c r="BJ45" s="51"/>
      <c r="BP45" s="51"/>
      <c r="BQ45" s="51"/>
      <c r="BW45" s="51"/>
      <c r="BX45" s="51"/>
      <c r="CD45" s="51"/>
      <c r="CE45" s="51"/>
      <c r="CK45" s="51"/>
      <c r="CL45" s="51"/>
      <c r="CR45" s="51"/>
      <c r="CS45" s="51"/>
      <c r="CY45" s="51"/>
      <c r="CZ45" s="51"/>
      <c r="DF45" s="51"/>
      <c r="DG45" s="51"/>
      <c r="DM45" s="51"/>
      <c r="DN45" s="51"/>
      <c r="DT45" s="51"/>
      <c r="DU45" s="51"/>
      <c r="EA45" s="51"/>
      <c r="EB45" s="51"/>
      <c r="EH45" s="51"/>
      <c r="EI45" s="51"/>
      <c r="EO45" s="51"/>
      <c r="EP45" s="51"/>
      <c r="EV45" s="51"/>
      <c r="EW45" s="51"/>
      <c r="FC45" s="51"/>
      <c r="FD45" s="51"/>
      <c r="FJ45" s="51"/>
      <c r="FK45" s="51"/>
      <c r="FQ45" s="51"/>
      <c r="FR45" s="51"/>
      <c r="FX45" s="51"/>
      <c r="FY45" s="51"/>
      <c r="GE45" s="51"/>
      <c r="GF45" s="51"/>
      <c r="GL45" s="51"/>
      <c r="GM45" s="51"/>
      <c r="GS45" s="51"/>
      <c r="GT45" s="51"/>
      <c r="GZ45" s="51"/>
      <c r="HA45" s="51"/>
      <c r="HG45" s="51"/>
      <c r="HH45" s="51"/>
      <c r="HN45" s="51"/>
      <c r="HO45" s="51"/>
    </row>
    <row r="46" customFormat="false" ht="15" hidden="false" customHeight="false" outlineLevel="0" collapsed="false">
      <c r="A46" s="0" t="str">
        <f aca="false">'Schedule Engine'!B45</f>
        <v>IW10</v>
      </c>
      <c r="B46" s="0" t="str">
        <f aca="false">'Schedule Engine'!E45</f>
        <v>Cleaning</v>
      </c>
      <c r="C46" s="0" t="str">
        <f aca="false">'Schedule Engine'!F45</f>
        <v>Angies Cleaning</v>
      </c>
      <c r="D46" s="0" t="n">
        <f aca="false">'Schedule Engine'!G45</f>
        <v>0</v>
      </c>
      <c r="E46" s="34" t="n">
        <f aca="false">'Schedule Engine'!N45</f>
        <v>46296</v>
      </c>
      <c r="F46" s="34" t="n">
        <f aca="false">'Schedule Engine'!O45</f>
        <v>46300</v>
      </c>
      <c r="G46" s="0" t="n">
        <f aca="false">'Schedule Engine'!K45</f>
        <v>3</v>
      </c>
      <c r="H46" s="0" t="n">
        <f aca="false">'Schedule Engine'!P45</f>
        <v>0</v>
      </c>
      <c r="L46" s="51"/>
      <c r="M46" s="51"/>
      <c r="S46" s="51"/>
      <c r="T46" s="51"/>
      <c r="Z46" s="51"/>
      <c r="AA46" s="51"/>
      <c r="AG46" s="51"/>
      <c r="AH46" s="51"/>
      <c r="AN46" s="51"/>
      <c r="AO46" s="51"/>
      <c r="AU46" s="51"/>
      <c r="AV46" s="51"/>
      <c r="BB46" s="51"/>
      <c r="BC46" s="51"/>
      <c r="BI46" s="51"/>
      <c r="BJ46" s="51"/>
      <c r="BP46" s="51"/>
      <c r="BQ46" s="51"/>
      <c r="BW46" s="51"/>
      <c r="BX46" s="51"/>
      <c r="CD46" s="51"/>
      <c r="CE46" s="51"/>
      <c r="CK46" s="51"/>
      <c r="CL46" s="51"/>
      <c r="CR46" s="51"/>
      <c r="CS46" s="51"/>
      <c r="CY46" s="51"/>
      <c r="CZ46" s="51"/>
      <c r="DF46" s="51"/>
      <c r="DG46" s="51"/>
      <c r="DM46" s="51"/>
      <c r="DN46" s="51"/>
      <c r="DT46" s="51"/>
      <c r="DU46" s="51"/>
      <c r="EA46" s="51"/>
      <c r="EB46" s="51"/>
      <c r="EH46" s="51"/>
      <c r="EI46" s="51"/>
      <c r="EO46" s="51"/>
      <c r="EP46" s="51"/>
      <c r="EV46" s="51"/>
      <c r="EW46" s="51"/>
      <c r="FC46" s="51"/>
      <c r="FD46" s="51"/>
      <c r="FJ46" s="51"/>
      <c r="FK46" s="51"/>
      <c r="FQ46" s="51"/>
      <c r="FR46" s="51"/>
      <c r="FX46" s="51"/>
      <c r="FY46" s="51"/>
      <c r="GE46" s="51"/>
      <c r="GF46" s="51"/>
      <c r="GL46" s="51"/>
      <c r="GM46" s="51"/>
      <c r="GS46" s="51"/>
      <c r="GT46" s="51"/>
      <c r="GZ46" s="51"/>
      <c r="HA46" s="51"/>
      <c r="HG46" s="51"/>
      <c r="HH46" s="51"/>
      <c r="HN46" s="51"/>
      <c r="HO46" s="51"/>
    </row>
    <row r="47" customFormat="false" ht="15" hidden="false" customHeight="false" outlineLevel="0" collapsed="false">
      <c r="A47" s="0" t="str">
        <f aca="false">'Schedule Engine'!B46</f>
        <v>IW11</v>
      </c>
      <c r="B47" s="0" t="str">
        <f aca="false">'Schedule Engine'!E46</f>
        <v>Estimate</v>
      </c>
      <c r="C47" s="0" t="str">
        <f aca="false">'Schedule Engine'!F46</f>
        <v>Willett &amp; Assoc.</v>
      </c>
      <c r="D47" s="0" t="n">
        <f aca="false">'Schedule Engine'!G46</f>
        <v>0</v>
      </c>
      <c r="E47" s="34" t="n">
        <f aca="false">'Schedule Engine'!N46</f>
        <v>46134</v>
      </c>
      <c r="F47" s="34" t="n">
        <f aca="false">'Schedule Engine'!O46</f>
        <v>46147</v>
      </c>
      <c r="G47" s="0" t="n">
        <f aca="false">'Schedule Engine'!K46</f>
        <v>10</v>
      </c>
      <c r="H47" s="0" t="n">
        <f aca="false">'Schedule Engine'!P46</f>
        <v>0</v>
      </c>
      <c r="L47" s="51"/>
      <c r="M47" s="51"/>
      <c r="S47" s="51"/>
      <c r="T47" s="51"/>
      <c r="Z47" s="51"/>
      <c r="AA47" s="51"/>
      <c r="AG47" s="51"/>
      <c r="AH47" s="51"/>
      <c r="AN47" s="51"/>
      <c r="AO47" s="51"/>
      <c r="AU47" s="51"/>
      <c r="AV47" s="51"/>
      <c r="BB47" s="51"/>
      <c r="BC47" s="51"/>
      <c r="BI47" s="51"/>
      <c r="BJ47" s="51"/>
      <c r="BP47" s="51"/>
      <c r="BQ47" s="51"/>
      <c r="BW47" s="51"/>
      <c r="BX47" s="51"/>
      <c r="CD47" s="51"/>
      <c r="CE47" s="51"/>
      <c r="CK47" s="51"/>
      <c r="CL47" s="51"/>
      <c r="CR47" s="51"/>
      <c r="CS47" s="51"/>
      <c r="CY47" s="51"/>
      <c r="CZ47" s="51"/>
      <c r="DF47" s="51"/>
      <c r="DG47" s="51"/>
      <c r="DM47" s="51"/>
      <c r="DN47" s="51"/>
      <c r="DT47" s="51"/>
      <c r="DU47" s="51"/>
      <c r="EA47" s="51"/>
      <c r="EB47" s="51"/>
      <c r="EH47" s="51"/>
      <c r="EI47" s="51"/>
      <c r="EO47" s="51"/>
      <c r="EP47" s="51"/>
      <c r="EV47" s="51"/>
      <c r="EW47" s="51"/>
      <c r="FC47" s="51"/>
      <c r="FD47" s="51"/>
      <c r="FJ47" s="51"/>
      <c r="FK47" s="51"/>
      <c r="FQ47" s="51"/>
      <c r="FR47" s="51"/>
      <c r="FX47" s="51"/>
      <c r="FY47" s="51"/>
      <c r="GE47" s="51"/>
      <c r="GF47" s="51"/>
      <c r="GL47" s="51"/>
      <c r="GM47" s="51"/>
      <c r="GS47" s="51"/>
      <c r="GT47" s="51"/>
      <c r="GZ47" s="51"/>
      <c r="HA47" s="51"/>
      <c r="HG47" s="51"/>
      <c r="HH47" s="51"/>
      <c r="HN47" s="51"/>
      <c r="HO47" s="51"/>
    </row>
    <row r="48" customFormat="false" ht="15" hidden="false" customHeight="false" outlineLevel="0" collapsed="false">
      <c r="A48" s="0" t="str">
        <f aca="false">'Schedule Engine'!B47</f>
        <v>IW11</v>
      </c>
      <c r="B48" s="0" t="str">
        <f aca="false">'Schedule Engine'!E47</f>
        <v>Clearing</v>
      </c>
      <c r="C48" s="0" t="str">
        <f aca="false">'Schedule Engine'!F47</f>
        <v>Willett &amp; Assoc.</v>
      </c>
      <c r="D48" s="0" t="n">
        <f aca="false">'Schedule Engine'!G47</f>
        <v>0</v>
      </c>
      <c r="E48" s="34" t="n">
        <f aca="false">'Schedule Engine'!N47</f>
        <v>46148</v>
      </c>
      <c r="F48" s="34" t="n">
        <f aca="false">'Schedule Engine'!O47</f>
        <v>46150</v>
      </c>
      <c r="G48" s="0" t="n">
        <f aca="false">'Schedule Engine'!K47</f>
        <v>3</v>
      </c>
      <c r="H48" s="0" t="n">
        <f aca="false">'Schedule Engine'!P47</f>
        <v>0</v>
      </c>
      <c r="L48" s="51"/>
      <c r="M48" s="51"/>
      <c r="S48" s="51"/>
      <c r="T48" s="51"/>
      <c r="Z48" s="51"/>
      <c r="AA48" s="51"/>
      <c r="AG48" s="51"/>
      <c r="AH48" s="51"/>
      <c r="AN48" s="51"/>
      <c r="AO48" s="51"/>
      <c r="AU48" s="51"/>
      <c r="AV48" s="51"/>
      <c r="BB48" s="51"/>
      <c r="BC48" s="51"/>
      <c r="BI48" s="51"/>
      <c r="BJ48" s="51"/>
      <c r="BP48" s="51"/>
      <c r="BQ48" s="51"/>
      <c r="BW48" s="51"/>
      <c r="BX48" s="51"/>
      <c r="CD48" s="51"/>
      <c r="CE48" s="51"/>
      <c r="CK48" s="51"/>
      <c r="CL48" s="51"/>
      <c r="CR48" s="51"/>
      <c r="CS48" s="51"/>
      <c r="CY48" s="51"/>
      <c r="CZ48" s="51"/>
      <c r="DF48" s="51"/>
      <c r="DG48" s="51"/>
      <c r="DM48" s="51"/>
      <c r="DN48" s="51"/>
      <c r="DT48" s="51"/>
      <c r="DU48" s="51"/>
      <c r="EA48" s="51"/>
      <c r="EB48" s="51"/>
      <c r="EH48" s="51"/>
      <c r="EI48" s="51"/>
      <c r="EO48" s="51"/>
      <c r="EP48" s="51"/>
      <c r="EV48" s="51"/>
      <c r="EW48" s="51"/>
      <c r="FC48" s="51"/>
      <c r="FD48" s="51"/>
      <c r="FJ48" s="51"/>
      <c r="FK48" s="51"/>
      <c r="FQ48" s="51"/>
      <c r="FR48" s="51"/>
      <c r="FX48" s="51"/>
      <c r="FY48" s="51"/>
      <c r="GE48" s="51"/>
      <c r="GF48" s="51"/>
      <c r="GL48" s="51"/>
      <c r="GM48" s="51"/>
      <c r="GS48" s="51"/>
      <c r="GT48" s="51"/>
      <c r="GZ48" s="51"/>
      <c r="HA48" s="51"/>
      <c r="HG48" s="51"/>
      <c r="HH48" s="51"/>
      <c r="HN48" s="51"/>
      <c r="HO48" s="51"/>
    </row>
    <row r="49" customFormat="false" ht="15" hidden="false" customHeight="false" outlineLevel="0" collapsed="false">
      <c r="A49" s="0" t="str">
        <f aca="false">'Schedule Engine'!B48</f>
        <v>IW11</v>
      </c>
      <c r="B49" s="0" t="str">
        <f aca="false">'Schedule Engine'!E48</f>
        <v>Site Prep</v>
      </c>
      <c r="C49" s="0" t="str">
        <f aca="false">'Schedule Engine'!F48</f>
        <v>Willett &amp; Assoc.</v>
      </c>
      <c r="D49" s="0" t="n">
        <f aca="false">'Schedule Engine'!G48</f>
        <v>0</v>
      </c>
      <c r="E49" s="34" t="n">
        <f aca="false">'Schedule Engine'!N48</f>
        <v>46153</v>
      </c>
      <c r="F49" s="34" t="n">
        <f aca="false">'Schedule Engine'!O48</f>
        <v>46154</v>
      </c>
      <c r="G49" s="0" t="n">
        <f aca="false">'Schedule Engine'!K48</f>
        <v>2</v>
      </c>
      <c r="H49" s="0" t="n">
        <f aca="false">'Schedule Engine'!P48</f>
        <v>0</v>
      </c>
      <c r="L49" s="51"/>
      <c r="M49" s="51"/>
      <c r="S49" s="51"/>
      <c r="T49" s="51"/>
      <c r="Z49" s="51"/>
      <c r="AA49" s="51"/>
      <c r="AG49" s="51"/>
      <c r="AH49" s="51"/>
      <c r="AN49" s="51"/>
      <c r="AO49" s="51"/>
      <c r="AU49" s="51"/>
      <c r="AV49" s="51"/>
      <c r="BB49" s="51"/>
      <c r="BC49" s="51"/>
      <c r="BI49" s="51"/>
      <c r="BJ49" s="51"/>
      <c r="BP49" s="51"/>
      <c r="BQ49" s="51"/>
      <c r="BW49" s="51"/>
      <c r="BX49" s="51"/>
      <c r="CD49" s="51"/>
      <c r="CE49" s="51"/>
      <c r="CK49" s="51"/>
      <c r="CL49" s="51"/>
      <c r="CR49" s="51"/>
      <c r="CS49" s="51"/>
      <c r="CY49" s="51"/>
      <c r="CZ49" s="51"/>
      <c r="DF49" s="51"/>
      <c r="DG49" s="51"/>
      <c r="DM49" s="51"/>
      <c r="DN49" s="51"/>
      <c r="DT49" s="51"/>
      <c r="DU49" s="51"/>
      <c r="EA49" s="51"/>
      <c r="EB49" s="51"/>
      <c r="EH49" s="51"/>
      <c r="EI49" s="51"/>
      <c r="EO49" s="51"/>
      <c r="EP49" s="51"/>
      <c r="EV49" s="51"/>
      <c r="EW49" s="51"/>
      <c r="FC49" s="51"/>
      <c r="FD49" s="51"/>
      <c r="FJ49" s="51"/>
      <c r="FK49" s="51"/>
      <c r="FQ49" s="51"/>
      <c r="FR49" s="51"/>
      <c r="FX49" s="51"/>
      <c r="FY49" s="51"/>
      <c r="GE49" s="51"/>
      <c r="GF49" s="51"/>
      <c r="GL49" s="51"/>
      <c r="GM49" s="51"/>
      <c r="GS49" s="51"/>
      <c r="GT49" s="51"/>
      <c r="GZ49" s="51"/>
      <c r="HA49" s="51"/>
      <c r="HG49" s="51"/>
      <c r="HH49" s="51"/>
      <c r="HN49" s="51"/>
      <c r="HO49" s="51"/>
    </row>
    <row r="50" customFormat="false" ht="15" hidden="false" customHeight="false" outlineLevel="0" collapsed="false">
      <c r="A50" s="0" t="str">
        <f aca="false">'Schedule Engine'!B49</f>
        <v>IW11</v>
      </c>
      <c r="B50" s="0" t="str">
        <f aca="false">'Schedule Engine'!E49</f>
        <v>Footer</v>
      </c>
      <c r="C50" s="0" t="str">
        <f aca="false">'Schedule Engine'!F49</f>
        <v>3C Concrete</v>
      </c>
      <c r="D50" s="0" t="str">
        <f aca="false">'Schedule Engine'!G49</f>
        <v>3C Concrete</v>
      </c>
      <c r="E50" s="34" t="n">
        <f aca="false">'Schedule Engine'!N49</f>
        <v>46155</v>
      </c>
      <c r="F50" s="34" t="n">
        <f aca="false">'Schedule Engine'!O49</f>
        <v>46160</v>
      </c>
      <c r="G50" s="0" t="n">
        <f aca="false">'Schedule Engine'!K49</f>
        <v>4</v>
      </c>
      <c r="H50" s="0" t="n">
        <f aca="false">'Schedule Engine'!P49</f>
        <v>0</v>
      </c>
      <c r="L50" s="51"/>
      <c r="M50" s="51"/>
      <c r="S50" s="51"/>
      <c r="T50" s="51"/>
      <c r="Z50" s="51"/>
      <c r="AA50" s="51"/>
      <c r="AG50" s="51"/>
      <c r="AH50" s="51"/>
      <c r="AN50" s="51"/>
      <c r="AO50" s="51"/>
      <c r="AU50" s="51"/>
      <c r="AV50" s="51"/>
      <c r="BB50" s="51"/>
      <c r="BC50" s="51"/>
      <c r="BI50" s="51"/>
      <c r="BJ50" s="51"/>
      <c r="BP50" s="51"/>
      <c r="BQ50" s="51"/>
      <c r="BW50" s="51"/>
      <c r="BX50" s="51"/>
      <c r="CD50" s="51"/>
      <c r="CE50" s="51"/>
      <c r="CK50" s="51"/>
      <c r="CL50" s="51"/>
      <c r="CR50" s="51"/>
      <c r="CS50" s="51"/>
      <c r="CY50" s="51"/>
      <c r="CZ50" s="51"/>
      <c r="DF50" s="51"/>
      <c r="DG50" s="51"/>
      <c r="DM50" s="51"/>
      <c r="DN50" s="51"/>
      <c r="DT50" s="51"/>
      <c r="DU50" s="51"/>
      <c r="EA50" s="51"/>
      <c r="EB50" s="51"/>
      <c r="EH50" s="51"/>
      <c r="EI50" s="51"/>
      <c r="EO50" s="51"/>
      <c r="EP50" s="51"/>
      <c r="EV50" s="51"/>
      <c r="EW50" s="51"/>
      <c r="FC50" s="51"/>
      <c r="FD50" s="51"/>
      <c r="FJ50" s="51"/>
      <c r="FK50" s="51"/>
      <c r="FQ50" s="51"/>
      <c r="FR50" s="51"/>
      <c r="FX50" s="51"/>
      <c r="FY50" s="51"/>
      <c r="GE50" s="51"/>
      <c r="GF50" s="51"/>
      <c r="GL50" s="51"/>
      <c r="GM50" s="51"/>
      <c r="GS50" s="51"/>
      <c r="GT50" s="51"/>
      <c r="GZ50" s="51"/>
      <c r="HA50" s="51"/>
      <c r="HG50" s="51"/>
      <c r="HH50" s="51"/>
      <c r="HN50" s="51"/>
      <c r="HO50" s="51"/>
    </row>
    <row r="51" customFormat="false" ht="15" hidden="false" customHeight="false" outlineLevel="0" collapsed="false">
      <c r="A51" s="0" t="str">
        <f aca="false">'Schedule Engine'!B50</f>
        <v>IW11</v>
      </c>
      <c r="B51" s="0" t="str">
        <f aca="false">'Schedule Engine'!E50</f>
        <v>Block</v>
      </c>
      <c r="C51" s="0" t="str">
        <f aca="false">'Schedule Engine'!F50</f>
        <v>Julio H</v>
      </c>
      <c r="D51" s="0" t="n">
        <f aca="false">'Schedule Engine'!G50</f>
        <v>0</v>
      </c>
      <c r="E51" s="34" t="n">
        <f aca="false">'Schedule Engine'!N50</f>
        <v>46161</v>
      </c>
      <c r="F51" s="34" t="n">
        <f aca="false">'Schedule Engine'!O50</f>
        <v>46174</v>
      </c>
      <c r="G51" s="0" t="n">
        <f aca="false">'Schedule Engine'!K50</f>
        <v>10</v>
      </c>
      <c r="H51" s="0" t="n">
        <f aca="false">'Schedule Engine'!P50</f>
        <v>0</v>
      </c>
      <c r="L51" s="51"/>
      <c r="M51" s="51"/>
      <c r="S51" s="51"/>
      <c r="T51" s="51"/>
      <c r="Z51" s="51"/>
      <c r="AA51" s="51"/>
      <c r="AG51" s="51"/>
      <c r="AH51" s="51"/>
      <c r="AN51" s="51"/>
      <c r="AO51" s="51"/>
      <c r="AU51" s="51"/>
      <c r="AV51" s="51"/>
      <c r="BB51" s="51"/>
      <c r="BC51" s="51"/>
      <c r="BI51" s="51"/>
      <c r="BJ51" s="51"/>
      <c r="BP51" s="51"/>
      <c r="BQ51" s="51"/>
      <c r="BW51" s="51"/>
      <c r="BX51" s="51"/>
      <c r="CD51" s="51"/>
      <c r="CE51" s="51"/>
      <c r="CK51" s="51"/>
      <c r="CL51" s="51"/>
      <c r="CR51" s="51"/>
      <c r="CS51" s="51"/>
      <c r="CY51" s="51"/>
      <c r="CZ51" s="51"/>
      <c r="DF51" s="51"/>
      <c r="DG51" s="51"/>
      <c r="DM51" s="51"/>
      <c r="DN51" s="51"/>
      <c r="DT51" s="51"/>
      <c r="DU51" s="51"/>
      <c r="EA51" s="51"/>
      <c r="EB51" s="51"/>
      <c r="EH51" s="51"/>
      <c r="EI51" s="51"/>
      <c r="EO51" s="51"/>
      <c r="EP51" s="51"/>
      <c r="EV51" s="51"/>
      <c r="EW51" s="51"/>
      <c r="FC51" s="51"/>
      <c r="FD51" s="51"/>
      <c r="FJ51" s="51"/>
      <c r="FK51" s="51"/>
      <c r="FQ51" s="51"/>
      <c r="FR51" s="51"/>
      <c r="FX51" s="51"/>
      <c r="FY51" s="51"/>
      <c r="GE51" s="51"/>
      <c r="GF51" s="51"/>
      <c r="GL51" s="51"/>
      <c r="GM51" s="51"/>
      <c r="GS51" s="51"/>
      <c r="GT51" s="51"/>
      <c r="GZ51" s="51"/>
      <c r="HA51" s="51"/>
      <c r="HG51" s="51"/>
      <c r="HH51" s="51"/>
      <c r="HN51" s="51"/>
      <c r="HO51" s="51"/>
    </row>
    <row r="52" customFormat="false" ht="15" hidden="false" customHeight="false" outlineLevel="0" collapsed="false">
      <c r="A52" s="0" t="str">
        <f aca="false">'Schedule Engine'!B51</f>
        <v>IW11</v>
      </c>
      <c r="B52" s="0" t="str">
        <f aca="false">'Schedule Engine'!E51</f>
        <v>French Drain</v>
      </c>
      <c r="C52" s="0" t="str">
        <f aca="false">'Schedule Engine'!F51</f>
        <v>Jacob Hayden</v>
      </c>
      <c r="D52" s="0" t="n">
        <f aca="false">'Schedule Engine'!G51</f>
        <v>0</v>
      </c>
      <c r="E52" s="34" t="n">
        <f aca="false">'Schedule Engine'!N51</f>
        <v>46175</v>
      </c>
      <c r="F52" s="34" t="n">
        <f aca="false">'Schedule Engine'!O51</f>
        <v>46176</v>
      </c>
      <c r="G52" s="0" t="n">
        <f aca="false">'Schedule Engine'!K51</f>
        <v>2</v>
      </c>
      <c r="H52" s="0" t="n">
        <f aca="false">'Schedule Engine'!P51</f>
        <v>0</v>
      </c>
      <c r="L52" s="51"/>
      <c r="M52" s="51"/>
      <c r="S52" s="51"/>
      <c r="T52" s="51"/>
      <c r="Z52" s="51"/>
      <c r="AA52" s="51"/>
      <c r="AG52" s="51"/>
      <c r="AH52" s="51"/>
      <c r="AN52" s="51"/>
      <c r="AO52" s="51"/>
      <c r="AU52" s="51"/>
      <c r="AV52" s="51"/>
      <c r="BB52" s="51"/>
      <c r="BC52" s="51"/>
      <c r="BI52" s="51"/>
      <c r="BJ52" s="51"/>
      <c r="BP52" s="51"/>
      <c r="BQ52" s="51"/>
      <c r="BW52" s="51"/>
      <c r="BX52" s="51"/>
      <c r="CD52" s="51"/>
      <c r="CE52" s="51"/>
      <c r="CK52" s="51"/>
      <c r="CL52" s="51"/>
      <c r="CR52" s="51"/>
      <c r="CS52" s="51"/>
      <c r="CY52" s="51"/>
      <c r="CZ52" s="51"/>
      <c r="DF52" s="51"/>
      <c r="DG52" s="51"/>
      <c r="DM52" s="51"/>
      <c r="DN52" s="51"/>
      <c r="DT52" s="51"/>
      <c r="DU52" s="51"/>
      <c r="EA52" s="51"/>
      <c r="EB52" s="51"/>
      <c r="EH52" s="51"/>
      <c r="EI52" s="51"/>
      <c r="EO52" s="51"/>
      <c r="EP52" s="51"/>
      <c r="EV52" s="51"/>
      <c r="EW52" s="51"/>
      <c r="FC52" s="51"/>
      <c r="FD52" s="51"/>
      <c r="FJ52" s="51"/>
      <c r="FK52" s="51"/>
      <c r="FQ52" s="51"/>
      <c r="FR52" s="51"/>
      <c r="FX52" s="51"/>
      <c r="FY52" s="51"/>
      <c r="GE52" s="51"/>
      <c r="GF52" s="51"/>
      <c r="GL52" s="51"/>
      <c r="GM52" s="51"/>
      <c r="GS52" s="51"/>
      <c r="GT52" s="51"/>
      <c r="GZ52" s="51"/>
      <c r="HA52" s="51"/>
      <c r="HG52" s="51"/>
      <c r="HH52" s="51"/>
      <c r="HN52" s="51"/>
      <c r="HO52" s="51"/>
    </row>
    <row r="53" customFormat="false" ht="15" hidden="false" customHeight="false" outlineLevel="0" collapsed="false">
      <c r="A53" s="0" t="str">
        <f aca="false">'Schedule Engine'!B52</f>
        <v>IW11</v>
      </c>
      <c r="B53" s="0" t="str">
        <f aca="false">'Schedule Engine'!E52</f>
        <v>Insulation Block</v>
      </c>
      <c r="C53" s="0" t="str">
        <f aca="false">'Schedule Engine'!F52</f>
        <v>Tyler Champion</v>
      </c>
      <c r="D53" s="0" t="n">
        <f aca="false">'Schedule Engine'!G52</f>
        <v>0</v>
      </c>
      <c r="E53" s="34" t="n">
        <f aca="false">'Schedule Engine'!N52</f>
        <v>46175</v>
      </c>
      <c r="F53" s="34" t="n">
        <f aca="false">'Schedule Engine'!O52</f>
        <v>46176</v>
      </c>
      <c r="G53" s="0" t="n">
        <f aca="false">'Schedule Engine'!K52</f>
        <v>2</v>
      </c>
      <c r="H53" s="0" t="n">
        <f aca="false">'Schedule Engine'!P52</f>
        <v>0</v>
      </c>
      <c r="L53" s="51"/>
      <c r="M53" s="51"/>
      <c r="S53" s="51"/>
      <c r="T53" s="51"/>
      <c r="Z53" s="51"/>
      <c r="AA53" s="51"/>
      <c r="AG53" s="51"/>
      <c r="AH53" s="51"/>
      <c r="AN53" s="51"/>
      <c r="AO53" s="51"/>
      <c r="AU53" s="51"/>
      <c r="AV53" s="51"/>
      <c r="BB53" s="51"/>
      <c r="BC53" s="51"/>
      <c r="BI53" s="51"/>
      <c r="BJ53" s="51"/>
      <c r="BP53" s="51"/>
      <c r="BQ53" s="51"/>
      <c r="BW53" s="51"/>
      <c r="BX53" s="51"/>
      <c r="CD53" s="51"/>
      <c r="CE53" s="51"/>
      <c r="CK53" s="51"/>
      <c r="CL53" s="51"/>
      <c r="CR53" s="51"/>
      <c r="CS53" s="51"/>
      <c r="CY53" s="51"/>
      <c r="CZ53" s="51"/>
      <c r="DF53" s="51"/>
      <c r="DG53" s="51"/>
      <c r="DM53" s="51"/>
      <c r="DN53" s="51"/>
      <c r="DT53" s="51"/>
      <c r="DU53" s="51"/>
      <c r="EA53" s="51"/>
      <c r="EB53" s="51"/>
      <c r="EH53" s="51"/>
      <c r="EI53" s="51"/>
      <c r="EO53" s="51"/>
      <c r="EP53" s="51"/>
      <c r="EV53" s="51"/>
      <c r="EW53" s="51"/>
      <c r="FC53" s="51"/>
      <c r="FD53" s="51"/>
      <c r="FJ53" s="51"/>
      <c r="FK53" s="51"/>
      <c r="FQ53" s="51"/>
      <c r="FR53" s="51"/>
      <c r="FX53" s="51"/>
      <c r="FY53" s="51"/>
      <c r="GE53" s="51"/>
      <c r="GF53" s="51"/>
      <c r="GL53" s="51"/>
      <c r="GM53" s="51"/>
      <c r="GS53" s="51"/>
      <c r="GT53" s="51"/>
      <c r="GZ53" s="51"/>
      <c r="HA53" s="51"/>
      <c r="HG53" s="51"/>
      <c r="HH53" s="51"/>
      <c r="HN53" s="51"/>
      <c r="HO53" s="51"/>
    </row>
    <row r="54" customFormat="false" ht="15" hidden="false" customHeight="false" outlineLevel="0" collapsed="false">
      <c r="A54" s="0" t="str">
        <f aca="false">'Schedule Engine'!B53</f>
        <v>IW11</v>
      </c>
      <c r="B54" s="0" t="str">
        <f aca="false">'Schedule Engine'!E53</f>
        <v>Rock Work</v>
      </c>
      <c r="C54" s="0" t="n">
        <f aca="false">'Schedule Engine'!F53</f>
        <v>0</v>
      </c>
      <c r="D54" s="0" t="n">
        <f aca="false">'Schedule Engine'!G53</f>
        <v>0</v>
      </c>
      <c r="E54" s="34" t="n">
        <f aca="false">'Schedule Engine'!N53</f>
        <v>46177</v>
      </c>
      <c r="F54" s="34" t="n">
        <f aca="false">'Schedule Engine'!O53</f>
        <v>46178</v>
      </c>
      <c r="G54" s="0" t="n">
        <f aca="false">'Schedule Engine'!K53</f>
        <v>2</v>
      </c>
      <c r="H54" s="0" t="n">
        <f aca="false">'Schedule Engine'!P53</f>
        <v>0</v>
      </c>
      <c r="L54" s="51"/>
      <c r="M54" s="51"/>
      <c r="S54" s="51"/>
      <c r="T54" s="51"/>
      <c r="Z54" s="51"/>
      <c r="AA54" s="51"/>
      <c r="AG54" s="51"/>
      <c r="AH54" s="51"/>
      <c r="AN54" s="51"/>
      <c r="AO54" s="51"/>
      <c r="AU54" s="51"/>
      <c r="AV54" s="51"/>
      <c r="BB54" s="51"/>
      <c r="BC54" s="51"/>
      <c r="BI54" s="51"/>
      <c r="BJ54" s="51"/>
      <c r="BP54" s="51"/>
      <c r="BQ54" s="51"/>
      <c r="BW54" s="51"/>
      <c r="BX54" s="51"/>
      <c r="CD54" s="51"/>
      <c r="CE54" s="51"/>
      <c r="CK54" s="51"/>
      <c r="CL54" s="51"/>
      <c r="CR54" s="51"/>
      <c r="CS54" s="51"/>
      <c r="CY54" s="51"/>
      <c r="CZ54" s="51"/>
      <c r="DF54" s="51"/>
      <c r="DG54" s="51"/>
      <c r="DM54" s="51"/>
      <c r="DN54" s="51"/>
      <c r="DT54" s="51"/>
      <c r="DU54" s="51"/>
      <c r="EA54" s="51"/>
      <c r="EB54" s="51"/>
      <c r="EH54" s="51"/>
      <c r="EI54" s="51"/>
      <c r="EO54" s="51"/>
      <c r="EP54" s="51"/>
      <c r="EV54" s="51"/>
      <c r="EW54" s="51"/>
      <c r="FC54" s="51"/>
      <c r="FD54" s="51"/>
      <c r="FJ54" s="51"/>
      <c r="FK54" s="51"/>
      <c r="FQ54" s="51"/>
      <c r="FR54" s="51"/>
      <c r="FX54" s="51"/>
      <c r="FY54" s="51"/>
      <c r="GE54" s="51"/>
      <c r="GF54" s="51"/>
      <c r="GL54" s="51"/>
      <c r="GM54" s="51"/>
      <c r="GS54" s="51"/>
      <c r="GT54" s="51"/>
      <c r="GZ54" s="51"/>
      <c r="HA54" s="51"/>
      <c r="HG54" s="51"/>
      <c r="HH54" s="51"/>
      <c r="HN54" s="51"/>
      <c r="HO54" s="51"/>
    </row>
    <row r="55" customFormat="false" ht="15" hidden="false" customHeight="false" outlineLevel="0" collapsed="false">
      <c r="A55" s="0" t="str">
        <f aca="false">'Schedule Engine'!B54</f>
        <v>IW11</v>
      </c>
      <c r="B55" s="0" t="str">
        <f aca="false">'Schedule Engine'!E54</f>
        <v>HVAC Pre</v>
      </c>
      <c r="C55" s="0" t="str">
        <f aca="false">'Schedule Engine'!F54</f>
        <v>Adco</v>
      </c>
      <c r="D55" s="0" t="n">
        <f aca="false">'Schedule Engine'!G54</f>
        <v>0</v>
      </c>
      <c r="E55" s="34" t="n">
        <f aca="false">'Schedule Engine'!N54</f>
        <v>46181</v>
      </c>
      <c r="F55" s="34" t="n">
        <f aca="false">'Schedule Engine'!O54</f>
        <v>46182</v>
      </c>
      <c r="G55" s="0" t="n">
        <f aca="false">'Schedule Engine'!K54</f>
        <v>2</v>
      </c>
      <c r="H55" s="0" t="n">
        <f aca="false">'Schedule Engine'!P54</f>
        <v>0</v>
      </c>
      <c r="L55" s="51"/>
      <c r="M55" s="51"/>
      <c r="S55" s="51"/>
      <c r="T55" s="51"/>
      <c r="Z55" s="51"/>
      <c r="AA55" s="51"/>
      <c r="AG55" s="51"/>
      <c r="AH55" s="51"/>
      <c r="AN55" s="51"/>
      <c r="AO55" s="51"/>
      <c r="AU55" s="51"/>
      <c r="AV55" s="51"/>
      <c r="BB55" s="51"/>
      <c r="BC55" s="51"/>
      <c r="BI55" s="51"/>
      <c r="BJ55" s="51"/>
      <c r="BP55" s="51"/>
      <c r="BQ55" s="51"/>
      <c r="BW55" s="51"/>
      <c r="BX55" s="51"/>
      <c r="CD55" s="51"/>
      <c r="CE55" s="51"/>
      <c r="CK55" s="51"/>
      <c r="CL55" s="51"/>
      <c r="CR55" s="51"/>
      <c r="CS55" s="51"/>
      <c r="CY55" s="51"/>
      <c r="CZ55" s="51"/>
      <c r="DF55" s="51"/>
      <c r="DG55" s="51"/>
      <c r="DM55" s="51"/>
      <c r="DN55" s="51"/>
      <c r="DT55" s="51"/>
      <c r="DU55" s="51"/>
      <c r="EA55" s="51"/>
      <c r="EB55" s="51"/>
      <c r="EH55" s="51"/>
      <c r="EI55" s="51"/>
      <c r="EO55" s="51"/>
      <c r="EP55" s="51"/>
      <c r="EV55" s="51"/>
      <c r="EW55" s="51"/>
      <c r="FC55" s="51"/>
      <c r="FD55" s="51"/>
      <c r="FJ55" s="51"/>
      <c r="FK55" s="51"/>
      <c r="FQ55" s="51"/>
      <c r="FR55" s="51"/>
      <c r="FX55" s="51"/>
      <c r="FY55" s="51"/>
      <c r="GE55" s="51"/>
      <c r="GF55" s="51"/>
      <c r="GL55" s="51"/>
      <c r="GM55" s="51"/>
      <c r="GS55" s="51"/>
      <c r="GT55" s="51"/>
      <c r="GZ55" s="51"/>
      <c r="HA55" s="51"/>
      <c r="HG55" s="51"/>
      <c r="HH55" s="51"/>
      <c r="HN55" s="51"/>
      <c r="HO55" s="51"/>
    </row>
    <row r="56" customFormat="false" ht="15" hidden="false" customHeight="false" outlineLevel="0" collapsed="false">
      <c r="A56" s="0" t="str">
        <f aca="false">'Schedule Engine'!B55</f>
        <v>IW11</v>
      </c>
      <c r="B56" s="0" t="str">
        <f aca="false">'Schedule Engine'!E55</f>
        <v>Plumbing Pre</v>
      </c>
      <c r="C56" s="0" t="str">
        <f aca="false">'Schedule Engine'!F55</f>
        <v>Hays</v>
      </c>
      <c r="D56" s="0" t="str">
        <f aca="false">'Schedule Engine'!G55</f>
        <v>Hays</v>
      </c>
      <c r="E56" s="34" t="n">
        <f aca="false">'Schedule Engine'!N55</f>
        <v>46181</v>
      </c>
      <c r="F56" s="34" t="n">
        <f aca="false">'Schedule Engine'!O55</f>
        <v>46185</v>
      </c>
      <c r="G56" s="0" t="n">
        <f aca="false">'Schedule Engine'!K55</f>
        <v>5</v>
      </c>
      <c r="H56" s="0" t="n">
        <f aca="false">'Schedule Engine'!P55</f>
        <v>0</v>
      </c>
      <c r="L56" s="51"/>
      <c r="M56" s="51"/>
      <c r="S56" s="51"/>
      <c r="T56" s="51"/>
      <c r="Z56" s="51"/>
      <c r="AA56" s="51"/>
      <c r="AG56" s="51"/>
      <c r="AH56" s="51"/>
      <c r="AN56" s="51"/>
      <c r="AO56" s="51"/>
      <c r="AU56" s="51"/>
      <c r="AV56" s="51"/>
      <c r="BB56" s="51"/>
      <c r="BC56" s="51"/>
      <c r="BI56" s="51"/>
      <c r="BJ56" s="51"/>
      <c r="BP56" s="51"/>
      <c r="BQ56" s="51"/>
      <c r="BW56" s="51"/>
      <c r="BX56" s="51"/>
      <c r="CD56" s="51"/>
      <c r="CE56" s="51"/>
      <c r="CK56" s="51"/>
      <c r="CL56" s="51"/>
      <c r="CR56" s="51"/>
      <c r="CS56" s="51"/>
      <c r="CY56" s="51"/>
      <c r="CZ56" s="51"/>
      <c r="DF56" s="51"/>
      <c r="DG56" s="51"/>
      <c r="DM56" s="51"/>
      <c r="DN56" s="51"/>
      <c r="DT56" s="51"/>
      <c r="DU56" s="51"/>
      <c r="EA56" s="51"/>
      <c r="EB56" s="51"/>
      <c r="EH56" s="51"/>
      <c r="EI56" s="51"/>
      <c r="EO56" s="51"/>
      <c r="EP56" s="51"/>
      <c r="EV56" s="51"/>
      <c r="EW56" s="51"/>
      <c r="FC56" s="51"/>
      <c r="FD56" s="51"/>
      <c r="FJ56" s="51"/>
      <c r="FK56" s="51"/>
      <c r="FQ56" s="51"/>
      <c r="FR56" s="51"/>
      <c r="FX56" s="51"/>
      <c r="FY56" s="51"/>
      <c r="GE56" s="51"/>
      <c r="GF56" s="51"/>
      <c r="GL56" s="51"/>
      <c r="GM56" s="51"/>
      <c r="GS56" s="51"/>
      <c r="GT56" s="51"/>
      <c r="GZ56" s="51"/>
      <c r="HA56" s="51"/>
      <c r="HG56" s="51"/>
      <c r="HH56" s="51"/>
      <c r="HN56" s="51"/>
      <c r="HO56" s="51"/>
    </row>
    <row r="57" customFormat="false" ht="15" hidden="false" customHeight="false" outlineLevel="0" collapsed="false">
      <c r="A57" s="0" t="str">
        <f aca="false">'Schedule Engine'!B56</f>
        <v>IW11</v>
      </c>
      <c r="B57" s="0" t="str">
        <f aca="false">'Schedule Engine'!E56</f>
        <v>Electrical Pre</v>
      </c>
      <c r="C57" s="0" t="str">
        <f aca="false">'Schedule Engine'!F56</f>
        <v>Dave Kaler</v>
      </c>
      <c r="D57" s="0" t="n">
        <f aca="false">'Schedule Engine'!G56</f>
        <v>0</v>
      </c>
      <c r="E57" s="34" t="n">
        <f aca="false">'Schedule Engine'!N56</f>
        <v>46181</v>
      </c>
      <c r="F57" s="34" t="n">
        <f aca="false">'Schedule Engine'!O56</f>
        <v>46182</v>
      </c>
      <c r="G57" s="0" t="n">
        <f aca="false">'Schedule Engine'!K56</f>
        <v>2</v>
      </c>
      <c r="H57" s="0" t="n">
        <f aca="false">'Schedule Engine'!P56</f>
        <v>0</v>
      </c>
      <c r="L57" s="51"/>
      <c r="M57" s="51"/>
      <c r="S57" s="51"/>
      <c r="T57" s="51"/>
      <c r="Z57" s="51"/>
      <c r="AA57" s="51"/>
      <c r="AG57" s="51"/>
      <c r="AH57" s="51"/>
      <c r="AN57" s="51"/>
      <c r="AO57" s="51"/>
      <c r="AU57" s="51"/>
      <c r="AV57" s="51"/>
      <c r="BB57" s="51"/>
      <c r="BC57" s="51"/>
      <c r="BI57" s="51"/>
      <c r="BJ57" s="51"/>
      <c r="BP57" s="51"/>
      <c r="BQ57" s="51"/>
      <c r="BW57" s="51"/>
      <c r="BX57" s="51"/>
      <c r="CD57" s="51"/>
      <c r="CE57" s="51"/>
      <c r="CK57" s="51"/>
      <c r="CL57" s="51"/>
      <c r="CR57" s="51"/>
      <c r="CS57" s="51"/>
      <c r="CY57" s="51"/>
      <c r="CZ57" s="51"/>
      <c r="DF57" s="51"/>
      <c r="DG57" s="51"/>
      <c r="DM57" s="51"/>
      <c r="DN57" s="51"/>
      <c r="DT57" s="51"/>
      <c r="DU57" s="51"/>
      <c r="EA57" s="51"/>
      <c r="EB57" s="51"/>
      <c r="EH57" s="51"/>
      <c r="EI57" s="51"/>
      <c r="EO57" s="51"/>
      <c r="EP57" s="51"/>
      <c r="EV57" s="51"/>
      <c r="EW57" s="51"/>
      <c r="FC57" s="51"/>
      <c r="FD57" s="51"/>
      <c r="FJ57" s="51"/>
      <c r="FK57" s="51"/>
      <c r="FQ57" s="51"/>
      <c r="FR57" s="51"/>
      <c r="FX57" s="51"/>
      <c r="FY57" s="51"/>
      <c r="GE57" s="51"/>
      <c r="GF57" s="51"/>
      <c r="GL57" s="51"/>
      <c r="GM57" s="51"/>
      <c r="GS57" s="51"/>
      <c r="GT57" s="51"/>
      <c r="GZ57" s="51"/>
      <c r="HA57" s="51"/>
      <c r="HG57" s="51"/>
      <c r="HH57" s="51"/>
      <c r="HN57" s="51"/>
      <c r="HO57" s="51"/>
    </row>
    <row r="58" customFormat="false" ht="15" hidden="false" customHeight="false" outlineLevel="0" collapsed="false">
      <c r="A58" s="0" t="str">
        <f aca="false">'Schedule Engine'!B57</f>
        <v>IW11</v>
      </c>
      <c r="B58" s="0" t="str">
        <f aca="false">'Schedule Engine'!E57</f>
        <v>Slab</v>
      </c>
      <c r="C58" s="0" t="str">
        <f aca="false">'Schedule Engine'!F57</f>
        <v>3C Concrete</v>
      </c>
      <c r="D58" s="0" t="str">
        <f aca="false">'Schedule Engine'!G57</f>
        <v>3C Concrete</v>
      </c>
      <c r="E58" s="34" t="n">
        <f aca="false">'Schedule Engine'!N57</f>
        <v>46188</v>
      </c>
      <c r="F58" s="34" t="n">
        <f aca="false">'Schedule Engine'!O57</f>
        <v>46191</v>
      </c>
      <c r="G58" s="0" t="n">
        <f aca="false">'Schedule Engine'!K57</f>
        <v>4</v>
      </c>
      <c r="H58" s="0" t="n">
        <f aca="false">'Schedule Engine'!P57</f>
        <v>0</v>
      </c>
      <c r="L58" s="51"/>
      <c r="M58" s="51"/>
      <c r="S58" s="51"/>
      <c r="T58" s="51"/>
      <c r="Z58" s="51"/>
      <c r="AA58" s="51"/>
      <c r="AG58" s="51"/>
      <c r="AH58" s="51"/>
      <c r="AN58" s="51"/>
      <c r="AO58" s="51"/>
      <c r="AU58" s="51"/>
      <c r="AV58" s="51"/>
      <c r="BB58" s="51"/>
      <c r="BC58" s="51"/>
      <c r="BI58" s="51"/>
      <c r="BJ58" s="51"/>
      <c r="BP58" s="51"/>
      <c r="BQ58" s="51"/>
      <c r="BW58" s="51"/>
      <c r="BX58" s="51"/>
      <c r="CD58" s="51"/>
      <c r="CE58" s="51"/>
      <c r="CK58" s="51"/>
      <c r="CL58" s="51"/>
      <c r="CR58" s="51"/>
      <c r="CS58" s="51"/>
      <c r="CY58" s="51"/>
      <c r="CZ58" s="51"/>
      <c r="DF58" s="51"/>
      <c r="DG58" s="51"/>
      <c r="DM58" s="51"/>
      <c r="DN58" s="51"/>
      <c r="DT58" s="51"/>
      <c r="DU58" s="51"/>
      <c r="EA58" s="51"/>
      <c r="EB58" s="51"/>
      <c r="EH58" s="51"/>
      <c r="EI58" s="51"/>
      <c r="EO58" s="51"/>
      <c r="EP58" s="51"/>
      <c r="EV58" s="51"/>
      <c r="EW58" s="51"/>
      <c r="FC58" s="51"/>
      <c r="FD58" s="51"/>
      <c r="FJ58" s="51"/>
      <c r="FK58" s="51"/>
      <c r="FQ58" s="51"/>
      <c r="FR58" s="51"/>
      <c r="FX58" s="51"/>
      <c r="FY58" s="51"/>
      <c r="GE58" s="51"/>
      <c r="GF58" s="51"/>
      <c r="GL58" s="51"/>
      <c r="GM58" s="51"/>
      <c r="GS58" s="51"/>
      <c r="GT58" s="51"/>
      <c r="GZ58" s="51"/>
      <c r="HA58" s="51"/>
      <c r="HG58" s="51"/>
      <c r="HH58" s="51"/>
      <c r="HN58" s="51"/>
      <c r="HO58" s="51"/>
    </row>
    <row r="59" customFormat="false" ht="15" hidden="false" customHeight="false" outlineLevel="0" collapsed="false">
      <c r="A59" s="0" t="str">
        <f aca="false">'Schedule Engine'!B58</f>
        <v>IW11</v>
      </c>
      <c r="B59" s="0" t="str">
        <f aca="false">'Schedule Engine'!E58</f>
        <v>Framing</v>
      </c>
      <c r="C59" s="0" t="str">
        <f aca="false">'Schedule Engine'!F58</f>
        <v>Gerardo</v>
      </c>
      <c r="D59" s="0" t="n">
        <f aca="false">'Schedule Engine'!G58</f>
        <v>0</v>
      </c>
      <c r="E59" s="34" t="n">
        <f aca="false">'Schedule Engine'!N58</f>
        <v>46192</v>
      </c>
      <c r="F59" s="34" t="n">
        <f aca="false">'Schedule Engine'!O58</f>
        <v>46233</v>
      </c>
      <c r="G59" s="0" t="n">
        <f aca="false">'Schedule Engine'!K58</f>
        <v>30</v>
      </c>
      <c r="H59" s="0" t="n">
        <f aca="false">'Schedule Engine'!P58</f>
        <v>0</v>
      </c>
      <c r="L59" s="51"/>
      <c r="M59" s="51"/>
      <c r="S59" s="51"/>
      <c r="T59" s="51"/>
      <c r="Z59" s="51"/>
      <c r="AA59" s="51"/>
      <c r="AG59" s="51"/>
      <c r="AH59" s="51"/>
      <c r="AN59" s="51"/>
      <c r="AO59" s="51"/>
      <c r="AU59" s="51"/>
      <c r="AV59" s="51"/>
      <c r="BB59" s="51"/>
      <c r="BC59" s="51"/>
      <c r="BI59" s="51"/>
      <c r="BJ59" s="51"/>
      <c r="BP59" s="51"/>
      <c r="BQ59" s="51"/>
      <c r="BW59" s="51"/>
      <c r="BX59" s="51"/>
      <c r="CD59" s="51"/>
      <c r="CE59" s="51"/>
      <c r="CK59" s="51"/>
      <c r="CL59" s="51"/>
      <c r="CR59" s="51"/>
      <c r="CS59" s="51"/>
      <c r="CY59" s="51"/>
      <c r="CZ59" s="51"/>
      <c r="DF59" s="51"/>
      <c r="DG59" s="51"/>
      <c r="DM59" s="51"/>
      <c r="DN59" s="51"/>
      <c r="DT59" s="51"/>
      <c r="DU59" s="51"/>
      <c r="EA59" s="51"/>
      <c r="EB59" s="51"/>
      <c r="EH59" s="51"/>
      <c r="EI59" s="51"/>
      <c r="EO59" s="51"/>
      <c r="EP59" s="51"/>
      <c r="EV59" s="51"/>
      <c r="EW59" s="51"/>
      <c r="FC59" s="51"/>
      <c r="FD59" s="51"/>
      <c r="FJ59" s="51"/>
      <c r="FK59" s="51"/>
      <c r="FQ59" s="51"/>
      <c r="FR59" s="51"/>
      <c r="FX59" s="51"/>
      <c r="FY59" s="51"/>
      <c r="GE59" s="51"/>
      <c r="GF59" s="51"/>
      <c r="GL59" s="51"/>
      <c r="GM59" s="51"/>
      <c r="GS59" s="51"/>
      <c r="GT59" s="51"/>
      <c r="GZ59" s="51"/>
      <c r="HA59" s="51"/>
      <c r="HG59" s="51"/>
      <c r="HH59" s="51"/>
      <c r="HN59" s="51"/>
      <c r="HO59" s="51"/>
    </row>
    <row r="60" customFormat="false" ht="15" hidden="false" customHeight="false" outlineLevel="0" collapsed="false">
      <c r="A60" s="0" t="str">
        <f aca="false">'Schedule Engine'!B59</f>
        <v>IW11</v>
      </c>
      <c r="B60" s="0" t="str">
        <f aca="false">'Schedule Engine'!E59</f>
        <v>Roofing</v>
      </c>
      <c r="C60" s="0" t="str">
        <f aca="false">'Schedule Engine'!F59</f>
        <v>Rod Smith</v>
      </c>
      <c r="D60" s="0" t="n">
        <f aca="false">'Schedule Engine'!G59</f>
        <v>0</v>
      </c>
      <c r="E60" s="34" t="n">
        <f aca="false">'Schedule Engine'!N59</f>
        <v>46234</v>
      </c>
      <c r="F60" s="34" t="n">
        <f aca="false">'Schedule Engine'!O59</f>
        <v>46239</v>
      </c>
      <c r="G60" s="0" t="n">
        <f aca="false">'Schedule Engine'!K59</f>
        <v>4</v>
      </c>
      <c r="H60" s="0" t="n">
        <f aca="false">'Schedule Engine'!P59</f>
        <v>0</v>
      </c>
      <c r="L60" s="51"/>
      <c r="M60" s="51"/>
      <c r="S60" s="51"/>
      <c r="T60" s="51"/>
      <c r="Z60" s="51"/>
      <c r="AA60" s="51"/>
      <c r="AG60" s="51"/>
      <c r="AH60" s="51"/>
      <c r="AN60" s="51"/>
      <c r="AO60" s="51"/>
      <c r="AU60" s="51"/>
      <c r="AV60" s="51"/>
      <c r="BB60" s="51"/>
      <c r="BC60" s="51"/>
      <c r="BI60" s="51"/>
      <c r="BJ60" s="51"/>
      <c r="BP60" s="51"/>
      <c r="BQ60" s="51"/>
      <c r="BW60" s="51"/>
      <c r="BX60" s="51"/>
      <c r="CD60" s="51"/>
      <c r="CE60" s="51"/>
      <c r="CK60" s="51"/>
      <c r="CL60" s="51"/>
      <c r="CR60" s="51"/>
      <c r="CS60" s="51"/>
      <c r="CY60" s="51"/>
      <c r="CZ60" s="51"/>
      <c r="DF60" s="51"/>
      <c r="DG60" s="51"/>
      <c r="DM60" s="51"/>
      <c r="DN60" s="51"/>
      <c r="DT60" s="51"/>
      <c r="DU60" s="51"/>
      <c r="EA60" s="51"/>
      <c r="EB60" s="51"/>
      <c r="EH60" s="51"/>
      <c r="EI60" s="51"/>
      <c r="EO60" s="51"/>
      <c r="EP60" s="51"/>
      <c r="EV60" s="51"/>
      <c r="EW60" s="51"/>
      <c r="FC60" s="51"/>
      <c r="FD60" s="51"/>
      <c r="FJ60" s="51"/>
      <c r="FK60" s="51"/>
      <c r="FQ60" s="51"/>
      <c r="FR60" s="51"/>
      <c r="FX60" s="51"/>
      <c r="FY60" s="51"/>
      <c r="GE60" s="51"/>
      <c r="GF60" s="51"/>
      <c r="GL60" s="51"/>
      <c r="GM60" s="51"/>
      <c r="GS60" s="51"/>
      <c r="GT60" s="51"/>
      <c r="GZ60" s="51"/>
      <c r="HA60" s="51"/>
      <c r="HG60" s="51"/>
      <c r="HH60" s="51"/>
      <c r="HN60" s="51"/>
      <c r="HO60" s="51"/>
    </row>
    <row r="61" customFormat="false" ht="15" hidden="false" customHeight="false" outlineLevel="0" collapsed="false">
      <c r="A61" s="0" t="str">
        <f aca="false">'Schedule Engine'!B60</f>
        <v>IW11</v>
      </c>
      <c r="B61" s="0" t="str">
        <f aca="false">'Schedule Engine'!E60</f>
        <v>Brick</v>
      </c>
      <c r="C61" s="0" t="str">
        <f aca="false">'Schedule Engine'!F60</f>
        <v>Julio H</v>
      </c>
      <c r="D61" s="0" t="n">
        <f aca="false">'Schedule Engine'!G60</f>
        <v>0</v>
      </c>
      <c r="E61" s="34" t="n">
        <f aca="false">'Schedule Engine'!N60</f>
        <v>46240</v>
      </c>
      <c r="F61" s="34" t="n">
        <f aca="false">'Schedule Engine'!O60</f>
        <v>46267</v>
      </c>
      <c r="G61" s="0" t="n">
        <f aca="false">'Schedule Engine'!K60</f>
        <v>20</v>
      </c>
      <c r="H61" s="0" t="n">
        <f aca="false">'Schedule Engine'!P60</f>
        <v>0</v>
      </c>
      <c r="L61" s="51"/>
      <c r="M61" s="51"/>
      <c r="S61" s="51"/>
      <c r="T61" s="51"/>
      <c r="Z61" s="51"/>
      <c r="AA61" s="51"/>
      <c r="AG61" s="51"/>
      <c r="AH61" s="51"/>
      <c r="AN61" s="51"/>
      <c r="AO61" s="51"/>
      <c r="AU61" s="51"/>
      <c r="AV61" s="51"/>
      <c r="BB61" s="51"/>
      <c r="BC61" s="51"/>
      <c r="BI61" s="51"/>
      <c r="BJ61" s="51"/>
      <c r="BP61" s="51"/>
      <c r="BQ61" s="51"/>
      <c r="BW61" s="51"/>
      <c r="BX61" s="51"/>
      <c r="CD61" s="51"/>
      <c r="CE61" s="51"/>
      <c r="CK61" s="51"/>
      <c r="CL61" s="51"/>
      <c r="CR61" s="51"/>
      <c r="CS61" s="51"/>
      <c r="CY61" s="51"/>
      <c r="CZ61" s="51"/>
      <c r="DF61" s="51"/>
      <c r="DG61" s="51"/>
      <c r="DM61" s="51"/>
      <c r="DN61" s="51"/>
      <c r="DT61" s="51"/>
      <c r="DU61" s="51"/>
      <c r="EA61" s="51"/>
      <c r="EB61" s="51"/>
      <c r="EH61" s="51"/>
      <c r="EI61" s="51"/>
      <c r="EO61" s="51"/>
      <c r="EP61" s="51"/>
      <c r="EV61" s="51"/>
      <c r="EW61" s="51"/>
      <c r="FC61" s="51"/>
      <c r="FD61" s="51"/>
      <c r="FJ61" s="51"/>
      <c r="FK61" s="51"/>
      <c r="FQ61" s="51"/>
      <c r="FR61" s="51"/>
      <c r="FX61" s="51"/>
      <c r="FY61" s="51"/>
      <c r="GE61" s="51"/>
      <c r="GF61" s="51"/>
      <c r="GL61" s="51"/>
      <c r="GM61" s="51"/>
      <c r="GS61" s="51"/>
      <c r="GT61" s="51"/>
      <c r="GZ61" s="51"/>
      <c r="HA61" s="51"/>
      <c r="HG61" s="51"/>
      <c r="HH61" s="51"/>
      <c r="HN61" s="51"/>
      <c r="HO61" s="51"/>
    </row>
    <row r="62" customFormat="false" ht="15" hidden="false" customHeight="false" outlineLevel="0" collapsed="false">
      <c r="A62" s="0" t="str">
        <f aca="false">'Schedule Engine'!B61</f>
        <v>IW11</v>
      </c>
      <c r="B62" s="0" t="str">
        <f aca="false">'Schedule Engine'!E61</f>
        <v>Stone</v>
      </c>
      <c r="C62" s="0" t="str">
        <f aca="false">'Schedule Engine'!F61</f>
        <v>Julio H</v>
      </c>
      <c r="D62" s="0" t="n">
        <f aca="false">'Schedule Engine'!G61</f>
        <v>0</v>
      </c>
      <c r="E62" s="34" t="n">
        <f aca="false">'Schedule Engine'!N61</f>
        <v>46240</v>
      </c>
      <c r="F62" s="34" t="n">
        <f aca="false">'Schedule Engine'!O61</f>
        <v>46267</v>
      </c>
      <c r="G62" s="0" t="n">
        <f aca="false">'Schedule Engine'!K61</f>
        <v>20</v>
      </c>
      <c r="H62" s="0" t="n">
        <f aca="false">'Schedule Engine'!P61</f>
        <v>0</v>
      </c>
      <c r="L62" s="51"/>
      <c r="M62" s="51"/>
      <c r="S62" s="51"/>
      <c r="T62" s="51"/>
      <c r="Z62" s="51"/>
      <c r="AA62" s="51"/>
      <c r="AG62" s="51"/>
      <c r="AH62" s="51"/>
      <c r="AN62" s="51"/>
      <c r="AO62" s="51"/>
      <c r="AU62" s="51"/>
      <c r="AV62" s="51"/>
      <c r="BB62" s="51"/>
      <c r="BC62" s="51"/>
      <c r="BI62" s="51"/>
      <c r="BJ62" s="51"/>
      <c r="BP62" s="51"/>
      <c r="BQ62" s="51"/>
      <c r="BW62" s="51"/>
      <c r="BX62" s="51"/>
      <c r="CD62" s="51"/>
      <c r="CE62" s="51"/>
      <c r="CK62" s="51"/>
      <c r="CL62" s="51"/>
      <c r="CR62" s="51"/>
      <c r="CS62" s="51"/>
      <c r="CY62" s="51"/>
      <c r="CZ62" s="51"/>
      <c r="DF62" s="51"/>
      <c r="DG62" s="51"/>
      <c r="DM62" s="51"/>
      <c r="DN62" s="51"/>
      <c r="DT62" s="51"/>
      <c r="DU62" s="51"/>
      <c r="EA62" s="51"/>
      <c r="EB62" s="51"/>
      <c r="EH62" s="51"/>
      <c r="EI62" s="51"/>
      <c r="EO62" s="51"/>
      <c r="EP62" s="51"/>
      <c r="EV62" s="51"/>
      <c r="EW62" s="51"/>
      <c r="FC62" s="51"/>
      <c r="FD62" s="51"/>
      <c r="FJ62" s="51"/>
      <c r="FK62" s="51"/>
      <c r="FQ62" s="51"/>
      <c r="FR62" s="51"/>
      <c r="FX62" s="51"/>
      <c r="FY62" s="51"/>
      <c r="GE62" s="51"/>
      <c r="GF62" s="51"/>
      <c r="GL62" s="51"/>
      <c r="GM62" s="51"/>
      <c r="GS62" s="51"/>
      <c r="GT62" s="51"/>
      <c r="GZ62" s="51"/>
      <c r="HA62" s="51"/>
      <c r="HG62" s="51"/>
      <c r="HH62" s="51"/>
      <c r="HN62" s="51"/>
      <c r="HO62" s="51"/>
    </row>
    <row r="63" customFormat="false" ht="15" hidden="false" customHeight="false" outlineLevel="0" collapsed="false">
      <c r="A63" s="0" t="str">
        <f aca="false">'Schedule Engine'!B62</f>
        <v>IW11</v>
      </c>
      <c r="B63" s="0" t="str">
        <f aca="false">'Schedule Engine'!E62</f>
        <v>Siding</v>
      </c>
      <c r="C63" s="0" t="str">
        <f aca="false">'Schedule Engine'!F62</f>
        <v>Gerardo</v>
      </c>
      <c r="D63" s="0" t="n">
        <f aca="false">'Schedule Engine'!G62</f>
        <v>0</v>
      </c>
      <c r="E63" s="34" t="n">
        <f aca="false">'Schedule Engine'!N62</f>
        <v>46240</v>
      </c>
      <c r="F63" s="34" t="n">
        <f aca="false">'Schedule Engine'!O62</f>
        <v>46267</v>
      </c>
      <c r="G63" s="0" t="n">
        <f aca="false">'Schedule Engine'!K62</f>
        <v>20</v>
      </c>
      <c r="H63" s="0" t="n">
        <f aca="false">'Schedule Engine'!P62</f>
        <v>0</v>
      </c>
      <c r="L63" s="51"/>
      <c r="M63" s="51"/>
      <c r="S63" s="51"/>
      <c r="T63" s="51"/>
      <c r="Z63" s="51"/>
      <c r="AA63" s="51"/>
      <c r="AG63" s="51"/>
      <c r="AH63" s="51"/>
      <c r="AN63" s="51"/>
      <c r="AO63" s="51"/>
      <c r="AU63" s="51"/>
      <c r="AV63" s="51"/>
      <c r="BB63" s="51"/>
      <c r="BC63" s="51"/>
      <c r="BI63" s="51"/>
      <c r="BJ63" s="51"/>
      <c r="BP63" s="51"/>
      <c r="BQ63" s="51"/>
      <c r="BW63" s="51"/>
      <c r="BX63" s="51"/>
      <c r="CD63" s="51"/>
      <c r="CE63" s="51"/>
      <c r="CK63" s="51"/>
      <c r="CL63" s="51"/>
      <c r="CR63" s="51"/>
      <c r="CS63" s="51"/>
      <c r="CY63" s="51"/>
      <c r="CZ63" s="51"/>
      <c r="DF63" s="51"/>
      <c r="DG63" s="51"/>
      <c r="DM63" s="51"/>
      <c r="DN63" s="51"/>
      <c r="DT63" s="51"/>
      <c r="DU63" s="51"/>
      <c r="EA63" s="51"/>
      <c r="EB63" s="51"/>
      <c r="EH63" s="51"/>
      <c r="EI63" s="51"/>
      <c r="EO63" s="51"/>
      <c r="EP63" s="51"/>
      <c r="EV63" s="51"/>
      <c r="EW63" s="51"/>
      <c r="FC63" s="51"/>
      <c r="FD63" s="51"/>
      <c r="FJ63" s="51"/>
      <c r="FK63" s="51"/>
      <c r="FQ63" s="51"/>
      <c r="FR63" s="51"/>
      <c r="FX63" s="51"/>
      <c r="FY63" s="51"/>
      <c r="GE63" s="51"/>
      <c r="GF63" s="51"/>
      <c r="GL63" s="51"/>
      <c r="GM63" s="51"/>
      <c r="GS63" s="51"/>
      <c r="GT63" s="51"/>
      <c r="GZ63" s="51"/>
      <c r="HA63" s="51"/>
      <c r="HG63" s="51"/>
      <c r="HH63" s="51"/>
      <c r="HN63" s="51"/>
      <c r="HO63" s="51"/>
    </row>
    <row r="64" customFormat="false" ht="15" hidden="false" customHeight="false" outlineLevel="0" collapsed="false">
      <c r="A64" s="0" t="str">
        <f aca="false">'Schedule Engine'!B63</f>
        <v>IW11</v>
      </c>
      <c r="B64" s="0" t="str">
        <f aca="false">'Schedule Engine'!E63</f>
        <v>Rough Grade</v>
      </c>
      <c r="C64" s="0" t="n">
        <f aca="false">'Schedule Engine'!F63</f>
        <v>0</v>
      </c>
      <c r="D64" s="0" t="n">
        <f aca="false">'Schedule Engine'!G63</f>
        <v>0</v>
      </c>
      <c r="E64" s="34" t="n">
        <f aca="false">'Schedule Engine'!N63</f>
        <v>46268</v>
      </c>
      <c r="F64" s="34" t="n">
        <f aca="false">'Schedule Engine'!O63</f>
        <v>46269</v>
      </c>
      <c r="G64" s="0" t="n">
        <f aca="false">'Schedule Engine'!K63</f>
        <v>2</v>
      </c>
      <c r="H64" s="0" t="n">
        <f aca="false">'Schedule Engine'!P63</f>
        <v>0</v>
      </c>
      <c r="L64" s="51"/>
      <c r="M64" s="51"/>
      <c r="S64" s="51"/>
      <c r="T64" s="51"/>
      <c r="Z64" s="51"/>
      <c r="AA64" s="51"/>
      <c r="AG64" s="51"/>
      <c r="AH64" s="51"/>
      <c r="AN64" s="51"/>
      <c r="AO64" s="51"/>
      <c r="AU64" s="51"/>
      <c r="AV64" s="51"/>
      <c r="BB64" s="51"/>
      <c r="BC64" s="51"/>
      <c r="BI64" s="51"/>
      <c r="BJ64" s="51"/>
      <c r="BP64" s="51"/>
      <c r="BQ64" s="51"/>
      <c r="BW64" s="51"/>
      <c r="BX64" s="51"/>
      <c r="CD64" s="51"/>
      <c r="CE64" s="51"/>
      <c r="CK64" s="51"/>
      <c r="CL64" s="51"/>
      <c r="CR64" s="51"/>
      <c r="CS64" s="51"/>
      <c r="CY64" s="51"/>
      <c r="CZ64" s="51"/>
      <c r="DF64" s="51"/>
      <c r="DG64" s="51"/>
      <c r="DM64" s="51"/>
      <c r="DN64" s="51"/>
      <c r="DT64" s="51"/>
      <c r="DU64" s="51"/>
      <c r="EA64" s="51"/>
      <c r="EB64" s="51"/>
      <c r="EH64" s="51"/>
      <c r="EI64" s="51"/>
      <c r="EO64" s="51"/>
      <c r="EP64" s="51"/>
      <c r="EV64" s="51"/>
      <c r="EW64" s="51"/>
      <c r="FC64" s="51"/>
      <c r="FD64" s="51"/>
      <c r="FJ64" s="51"/>
      <c r="FK64" s="51"/>
      <c r="FQ64" s="51"/>
      <c r="FR64" s="51"/>
      <c r="FX64" s="51"/>
      <c r="FY64" s="51"/>
      <c r="GE64" s="51"/>
      <c r="GF64" s="51"/>
      <c r="GL64" s="51"/>
      <c r="GM64" s="51"/>
      <c r="GS64" s="51"/>
      <c r="GT64" s="51"/>
      <c r="GZ64" s="51"/>
      <c r="HA64" s="51"/>
      <c r="HG64" s="51"/>
      <c r="HH64" s="51"/>
      <c r="HN64" s="51"/>
      <c r="HO64" s="51"/>
    </row>
    <row r="65" customFormat="false" ht="15" hidden="false" customHeight="false" outlineLevel="0" collapsed="false">
      <c r="A65" s="0" t="str">
        <f aca="false">'Schedule Engine'!B64</f>
        <v>IW11</v>
      </c>
      <c r="B65" s="0" t="str">
        <f aca="false">'Schedule Engine'!E64</f>
        <v>Irrigation</v>
      </c>
      <c r="C65" s="0" t="str">
        <f aca="false">'Schedule Engine'!F64</f>
        <v>Ramiro</v>
      </c>
      <c r="D65" s="0" t="n">
        <f aca="false">'Schedule Engine'!G64</f>
        <v>0</v>
      </c>
      <c r="E65" s="34" t="n">
        <f aca="false">'Schedule Engine'!N64</f>
        <v>46272</v>
      </c>
      <c r="F65" s="34" t="n">
        <f aca="false">'Schedule Engine'!O64</f>
        <v>46273</v>
      </c>
      <c r="G65" s="0" t="n">
        <f aca="false">'Schedule Engine'!K64</f>
        <v>2</v>
      </c>
      <c r="H65" s="0" t="n">
        <f aca="false">'Schedule Engine'!P64</f>
        <v>0</v>
      </c>
      <c r="L65" s="51"/>
      <c r="M65" s="51"/>
      <c r="S65" s="51"/>
      <c r="T65" s="51"/>
      <c r="Z65" s="51"/>
      <c r="AA65" s="51"/>
      <c r="AG65" s="51"/>
      <c r="AH65" s="51"/>
      <c r="AN65" s="51"/>
      <c r="AO65" s="51"/>
      <c r="AU65" s="51"/>
      <c r="AV65" s="51"/>
      <c r="BB65" s="51"/>
      <c r="BC65" s="51"/>
      <c r="BI65" s="51"/>
      <c r="BJ65" s="51"/>
      <c r="BP65" s="51"/>
      <c r="BQ65" s="51"/>
      <c r="BW65" s="51"/>
      <c r="BX65" s="51"/>
      <c r="CD65" s="51"/>
      <c r="CE65" s="51"/>
      <c r="CK65" s="51"/>
      <c r="CL65" s="51"/>
      <c r="CR65" s="51"/>
      <c r="CS65" s="51"/>
      <c r="CY65" s="51"/>
      <c r="CZ65" s="51"/>
      <c r="DF65" s="51"/>
      <c r="DG65" s="51"/>
      <c r="DM65" s="51"/>
      <c r="DN65" s="51"/>
      <c r="DT65" s="51"/>
      <c r="DU65" s="51"/>
      <c r="EA65" s="51"/>
      <c r="EB65" s="51"/>
      <c r="EH65" s="51"/>
      <c r="EI65" s="51"/>
      <c r="EO65" s="51"/>
      <c r="EP65" s="51"/>
      <c r="EV65" s="51"/>
      <c r="EW65" s="51"/>
      <c r="FC65" s="51"/>
      <c r="FD65" s="51"/>
      <c r="FJ65" s="51"/>
      <c r="FK65" s="51"/>
      <c r="FQ65" s="51"/>
      <c r="FR65" s="51"/>
      <c r="FX65" s="51"/>
      <c r="FY65" s="51"/>
      <c r="GE65" s="51"/>
      <c r="GF65" s="51"/>
      <c r="GL65" s="51"/>
      <c r="GM65" s="51"/>
      <c r="GS65" s="51"/>
      <c r="GT65" s="51"/>
      <c r="GZ65" s="51"/>
      <c r="HA65" s="51"/>
      <c r="HG65" s="51"/>
      <c r="HH65" s="51"/>
      <c r="HN65" s="51"/>
      <c r="HO65" s="51"/>
    </row>
    <row r="66" customFormat="false" ht="15" hidden="false" customHeight="false" outlineLevel="0" collapsed="false">
      <c r="A66" s="0" t="str">
        <f aca="false">'Schedule Engine'!B65</f>
        <v>IW11</v>
      </c>
      <c r="B66" s="0" t="str">
        <f aca="false">'Schedule Engine'!E65</f>
        <v>Finish Grade</v>
      </c>
      <c r="C66" s="0" t="str">
        <f aca="false">'Schedule Engine'!F65</f>
        <v>Jacob Hayden</v>
      </c>
      <c r="D66" s="0" t="n">
        <f aca="false">'Schedule Engine'!G65</f>
        <v>0</v>
      </c>
      <c r="E66" s="34" t="n">
        <f aca="false">'Schedule Engine'!N65</f>
        <v>46274</v>
      </c>
      <c r="F66" s="34" t="n">
        <f aca="false">'Schedule Engine'!O65</f>
        <v>46275</v>
      </c>
      <c r="G66" s="0" t="n">
        <f aca="false">'Schedule Engine'!K65</f>
        <v>2</v>
      </c>
      <c r="H66" s="0" t="n">
        <f aca="false">'Schedule Engine'!P65</f>
        <v>0</v>
      </c>
      <c r="L66" s="51"/>
      <c r="M66" s="51"/>
      <c r="S66" s="51"/>
      <c r="T66" s="51"/>
      <c r="Z66" s="51"/>
      <c r="AA66" s="51"/>
      <c r="AG66" s="51"/>
      <c r="AH66" s="51"/>
      <c r="AN66" s="51"/>
      <c r="AO66" s="51"/>
      <c r="AU66" s="51"/>
      <c r="AV66" s="51"/>
      <c r="BB66" s="51"/>
      <c r="BC66" s="51"/>
      <c r="BI66" s="51"/>
      <c r="BJ66" s="51"/>
      <c r="BP66" s="51"/>
      <c r="BQ66" s="51"/>
      <c r="BW66" s="51"/>
      <c r="BX66" s="51"/>
      <c r="CD66" s="51"/>
      <c r="CE66" s="51"/>
      <c r="CK66" s="51"/>
      <c r="CL66" s="51"/>
      <c r="CR66" s="51"/>
      <c r="CS66" s="51"/>
      <c r="CY66" s="51"/>
      <c r="CZ66" s="51"/>
      <c r="DF66" s="51"/>
      <c r="DG66" s="51"/>
      <c r="DM66" s="51"/>
      <c r="DN66" s="51"/>
      <c r="DT66" s="51"/>
      <c r="DU66" s="51"/>
      <c r="EA66" s="51"/>
      <c r="EB66" s="51"/>
      <c r="EH66" s="51"/>
      <c r="EI66" s="51"/>
      <c r="EO66" s="51"/>
      <c r="EP66" s="51"/>
      <c r="EV66" s="51"/>
      <c r="EW66" s="51"/>
      <c r="FC66" s="51"/>
      <c r="FD66" s="51"/>
      <c r="FJ66" s="51"/>
      <c r="FK66" s="51"/>
      <c r="FQ66" s="51"/>
      <c r="FR66" s="51"/>
      <c r="FX66" s="51"/>
      <c r="FY66" s="51"/>
      <c r="GE66" s="51"/>
      <c r="GF66" s="51"/>
      <c r="GL66" s="51"/>
      <c r="GM66" s="51"/>
      <c r="GS66" s="51"/>
      <c r="GT66" s="51"/>
      <c r="GZ66" s="51"/>
      <c r="HA66" s="51"/>
      <c r="HG66" s="51"/>
      <c r="HH66" s="51"/>
      <c r="HN66" s="51"/>
      <c r="HO66" s="51"/>
    </row>
    <row r="67" customFormat="false" ht="15" hidden="false" customHeight="false" outlineLevel="0" collapsed="false">
      <c r="A67" s="0" t="str">
        <f aca="false">'Schedule Engine'!B66</f>
        <v>IW11</v>
      </c>
      <c r="B67" s="0" t="str">
        <f aca="false">'Schedule Engine'!E66</f>
        <v>Landscaping</v>
      </c>
      <c r="C67" s="0" t="str">
        <f aca="false">'Schedule Engine'!F66</f>
        <v>Jacob Hayden</v>
      </c>
      <c r="D67" s="0" t="n">
        <f aca="false">'Schedule Engine'!G66</f>
        <v>0</v>
      </c>
      <c r="E67" s="34" t="n">
        <f aca="false">'Schedule Engine'!N66</f>
        <v>46274</v>
      </c>
      <c r="F67" s="34" t="n">
        <f aca="false">'Schedule Engine'!O66</f>
        <v>46275</v>
      </c>
      <c r="G67" s="0" t="n">
        <f aca="false">'Schedule Engine'!K66</f>
        <v>2</v>
      </c>
      <c r="H67" s="0" t="n">
        <f aca="false">'Schedule Engine'!P66</f>
        <v>0</v>
      </c>
      <c r="L67" s="51"/>
      <c r="M67" s="51"/>
      <c r="S67" s="51"/>
      <c r="T67" s="51"/>
      <c r="Z67" s="51"/>
      <c r="AA67" s="51"/>
      <c r="AG67" s="51"/>
      <c r="AH67" s="51"/>
      <c r="AN67" s="51"/>
      <c r="AO67" s="51"/>
      <c r="AU67" s="51"/>
      <c r="AV67" s="51"/>
      <c r="BB67" s="51"/>
      <c r="BC67" s="51"/>
      <c r="BI67" s="51"/>
      <c r="BJ67" s="51"/>
      <c r="BP67" s="51"/>
      <c r="BQ67" s="51"/>
      <c r="BW67" s="51"/>
      <c r="BX67" s="51"/>
      <c r="CD67" s="51"/>
      <c r="CE67" s="51"/>
      <c r="CK67" s="51"/>
      <c r="CL67" s="51"/>
      <c r="CR67" s="51"/>
      <c r="CS67" s="51"/>
      <c r="CY67" s="51"/>
      <c r="CZ67" s="51"/>
      <c r="DF67" s="51"/>
      <c r="DG67" s="51"/>
      <c r="DM67" s="51"/>
      <c r="DN67" s="51"/>
      <c r="DT67" s="51"/>
      <c r="DU67" s="51"/>
      <c r="EA67" s="51"/>
      <c r="EB67" s="51"/>
      <c r="EH67" s="51"/>
      <c r="EI67" s="51"/>
      <c r="EO67" s="51"/>
      <c r="EP67" s="51"/>
      <c r="EV67" s="51"/>
      <c r="EW67" s="51"/>
      <c r="FC67" s="51"/>
      <c r="FD67" s="51"/>
      <c r="FJ67" s="51"/>
      <c r="FK67" s="51"/>
      <c r="FQ67" s="51"/>
      <c r="FR67" s="51"/>
      <c r="FX67" s="51"/>
      <c r="FY67" s="51"/>
      <c r="GE67" s="51"/>
      <c r="GF67" s="51"/>
      <c r="GL67" s="51"/>
      <c r="GM67" s="51"/>
      <c r="GS67" s="51"/>
      <c r="GT67" s="51"/>
      <c r="GZ67" s="51"/>
      <c r="HA67" s="51"/>
      <c r="HG67" s="51"/>
      <c r="HH67" s="51"/>
      <c r="HN67" s="51"/>
      <c r="HO67" s="51"/>
    </row>
    <row r="68" customFormat="false" ht="15" hidden="false" customHeight="false" outlineLevel="0" collapsed="false">
      <c r="A68" s="0" t="str">
        <f aca="false">'Schedule Engine'!B67</f>
        <v>IW11</v>
      </c>
      <c r="B68" s="0" t="str">
        <f aca="false">'Schedule Engine'!E67</f>
        <v>Lawn Seeding</v>
      </c>
      <c r="C68" s="0" t="str">
        <f aca="false">'Schedule Engine'!F67</f>
        <v>TruGreen</v>
      </c>
      <c r="D68" s="0" t="n">
        <f aca="false">'Schedule Engine'!G67</f>
        <v>0</v>
      </c>
      <c r="E68" s="34" t="n">
        <f aca="false">'Schedule Engine'!N67</f>
        <v>46276</v>
      </c>
      <c r="F68" s="34" t="n">
        <f aca="false">'Schedule Engine'!O67</f>
        <v>46279</v>
      </c>
      <c r="G68" s="0" t="n">
        <f aca="false">'Schedule Engine'!K67</f>
        <v>2</v>
      </c>
      <c r="H68" s="0" t="n">
        <f aca="false">'Schedule Engine'!P67</f>
        <v>0</v>
      </c>
      <c r="L68" s="51"/>
      <c r="M68" s="51"/>
      <c r="S68" s="51"/>
      <c r="T68" s="51"/>
      <c r="Z68" s="51"/>
      <c r="AA68" s="51"/>
      <c r="AG68" s="51"/>
      <c r="AH68" s="51"/>
      <c r="AN68" s="51"/>
      <c r="AO68" s="51"/>
      <c r="AU68" s="51"/>
      <c r="AV68" s="51"/>
      <c r="BB68" s="51"/>
      <c r="BC68" s="51"/>
      <c r="BI68" s="51"/>
      <c r="BJ68" s="51"/>
      <c r="BP68" s="51"/>
      <c r="BQ68" s="51"/>
      <c r="BW68" s="51"/>
      <c r="BX68" s="51"/>
      <c r="CD68" s="51"/>
      <c r="CE68" s="51"/>
      <c r="CK68" s="51"/>
      <c r="CL68" s="51"/>
      <c r="CR68" s="51"/>
      <c r="CS68" s="51"/>
      <c r="CY68" s="51"/>
      <c r="CZ68" s="51"/>
      <c r="DF68" s="51"/>
      <c r="DG68" s="51"/>
      <c r="DM68" s="51"/>
      <c r="DN68" s="51"/>
      <c r="DT68" s="51"/>
      <c r="DU68" s="51"/>
      <c r="EA68" s="51"/>
      <c r="EB68" s="51"/>
      <c r="EH68" s="51"/>
      <c r="EI68" s="51"/>
      <c r="EO68" s="51"/>
      <c r="EP68" s="51"/>
      <c r="EV68" s="51"/>
      <c r="EW68" s="51"/>
      <c r="FC68" s="51"/>
      <c r="FD68" s="51"/>
      <c r="FJ68" s="51"/>
      <c r="FK68" s="51"/>
      <c r="FQ68" s="51"/>
      <c r="FR68" s="51"/>
      <c r="FX68" s="51"/>
      <c r="FY68" s="51"/>
      <c r="GE68" s="51"/>
      <c r="GF68" s="51"/>
      <c r="GL68" s="51"/>
      <c r="GM68" s="51"/>
      <c r="GS68" s="51"/>
      <c r="GT68" s="51"/>
      <c r="GZ68" s="51"/>
      <c r="HA68" s="51"/>
      <c r="HG68" s="51"/>
      <c r="HH68" s="51"/>
      <c r="HN68" s="51"/>
      <c r="HO68" s="51"/>
    </row>
    <row r="69" customFormat="false" ht="15" hidden="false" customHeight="false" outlineLevel="0" collapsed="false">
      <c r="A69" s="0" t="str">
        <f aca="false">'Schedule Engine'!B68</f>
        <v>IW11</v>
      </c>
      <c r="B69" s="0" t="str">
        <f aca="false">'Schedule Engine'!E68</f>
        <v>Gutter drains</v>
      </c>
      <c r="C69" s="0" t="n">
        <f aca="false">'Schedule Engine'!F68</f>
        <v>0</v>
      </c>
      <c r="D69" s="0" t="n">
        <f aca="false">'Schedule Engine'!G68</f>
        <v>0</v>
      </c>
      <c r="E69" s="34" t="n">
        <f aca="false">'Schedule Engine'!N68</f>
        <v>46272</v>
      </c>
      <c r="F69" s="34" t="n">
        <f aca="false">'Schedule Engine'!O68</f>
        <v>46273</v>
      </c>
      <c r="G69" s="0" t="n">
        <f aca="false">'Schedule Engine'!K68</f>
        <v>2</v>
      </c>
      <c r="H69" s="0" t="n">
        <f aca="false">'Schedule Engine'!P68</f>
        <v>0</v>
      </c>
      <c r="L69" s="51"/>
      <c r="M69" s="51"/>
      <c r="S69" s="51"/>
      <c r="T69" s="51"/>
      <c r="Z69" s="51"/>
      <c r="AA69" s="51"/>
      <c r="AG69" s="51"/>
      <c r="AH69" s="51"/>
      <c r="AN69" s="51"/>
      <c r="AO69" s="51"/>
      <c r="AU69" s="51"/>
      <c r="AV69" s="51"/>
      <c r="BB69" s="51"/>
      <c r="BC69" s="51"/>
      <c r="BI69" s="51"/>
      <c r="BJ69" s="51"/>
      <c r="BP69" s="51"/>
      <c r="BQ69" s="51"/>
      <c r="BW69" s="51"/>
      <c r="BX69" s="51"/>
      <c r="CD69" s="51"/>
      <c r="CE69" s="51"/>
      <c r="CK69" s="51"/>
      <c r="CL69" s="51"/>
      <c r="CR69" s="51"/>
      <c r="CS69" s="51"/>
      <c r="CY69" s="51"/>
      <c r="CZ69" s="51"/>
      <c r="DF69" s="51"/>
      <c r="DG69" s="51"/>
      <c r="DM69" s="51"/>
      <c r="DN69" s="51"/>
      <c r="DT69" s="51"/>
      <c r="DU69" s="51"/>
      <c r="EA69" s="51"/>
      <c r="EB69" s="51"/>
      <c r="EH69" s="51"/>
      <c r="EI69" s="51"/>
      <c r="EO69" s="51"/>
      <c r="EP69" s="51"/>
      <c r="EV69" s="51"/>
      <c r="EW69" s="51"/>
      <c r="FC69" s="51"/>
      <c r="FD69" s="51"/>
      <c r="FJ69" s="51"/>
      <c r="FK69" s="51"/>
      <c r="FQ69" s="51"/>
      <c r="FR69" s="51"/>
      <c r="FX69" s="51"/>
      <c r="FY69" s="51"/>
      <c r="GE69" s="51"/>
      <c r="GF69" s="51"/>
      <c r="GL69" s="51"/>
      <c r="GM69" s="51"/>
      <c r="GS69" s="51"/>
      <c r="GT69" s="51"/>
      <c r="GZ69" s="51"/>
      <c r="HA69" s="51"/>
      <c r="HG69" s="51"/>
      <c r="HH69" s="51"/>
      <c r="HN69" s="51"/>
      <c r="HO69" s="51"/>
    </row>
    <row r="70" customFormat="false" ht="15" hidden="false" customHeight="false" outlineLevel="0" collapsed="false">
      <c r="A70" s="0" t="str">
        <f aca="false">'Schedule Engine'!B69</f>
        <v>IW11</v>
      </c>
      <c r="B70" s="0" t="str">
        <f aca="false">'Schedule Engine'!E69</f>
        <v>HVAC Rough</v>
      </c>
      <c r="C70" s="0" t="str">
        <f aca="false">'Schedule Engine'!F69</f>
        <v>Adco</v>
      </c>
      <c r="D70" s="0" t="n">
        <f aca="false">'Schedule Engine'!G69</f>
        <v>0</v>
      </c>
      <c r="E70" s="34" t="n">
        <f aca="false">'Schedule Engine'!N69</f>
        <v>46234</v>
      </c>
      <c r="F70" s="34" t="n">
        <f aca="false">'Schedule Engine'!O69</f>
        <v>46240</v>
      </c>
      <c r="G70" s="0" t="n">
        <f aca="false">'Schedule Engine'!K69</f>
        <v>5</v>
      </c>
      <c r="H70" s="0" t="n">
        <f aca="false">'Schedule Engine'!P69</f>
        <v>0</v>
      </c>
      <c r="L70" s="51"/>
      <c r="M70" s="51"/>
      <c r="S70" s="51"/>
      <c r="T70" s="51"/>
      <c r="Z70" s="51"/>
      <c r="AA70" s="51"/>
      <c r="AG70" s="51"/>
      <c r="AH70" s="51"/>
      <c r="AN70" s="51"/>
      <c r="AO70" s="51"/>
      <c r="AU70" s="51"/>
      <c r="AV70" s="51"/>
      <c r="BB70" s="51"/>
      <c r="BC70" s="51"/>
      <c r="BI70" s="51"/>
      <c r="BJ70" s="51"/>
      <c r="BP70" s="51"/>
      <c r="BQ70" s="51"/>
      <c r="BW70" s="51"/>
      <c r="BX70" s="51"/>
      <c r="CD70" s="51"/>
      <c r="CE70" s="51"/>
      <c r="CK70" s="51"/>
      <c r="CL70" s="51"/>
      <c r="CR70" s="51"/>
      <c r="CS70" s="51"/>
      <c r="CY70" s="51"/>
      <c r="CZ70" s="51"/>
      <c r="DF70" s="51"/>
      <c r="DG70" s="51"/>
      <c r="DM70" s="51"/>
      <c r="DN70" s="51"/>
      <c r="DT70" s="51"/>
      <c r="DU70" s="51"/>
      <c r="EA70" s="51"/>
      <c r="EB70" s="51"/>
      <c r="EH70" s="51"/>
      <c r="EI70" s="51"/>
      <c r="EO70" s="51"/>
      <c r="EP70" s="51"/>
      <c r="EV70" s="51"/>
      <c r="EW70" s="51"/>
      <c r="FC70" s="51"/>
      <c r="FD70" s="51"/>
      <c r="FJ70" s="51"/>
      <c r="FK70" s="51"/>
      <c r="FQ70" s="51"/>
      <c r="FR70" s="51"/>
      <c r="FX70" s="51"/>
      <c r="FY70" s="51"/>
      <c r="GE70" s="51"/>
      <c r="GF70" s="51"/>
      <c r="GL70" s="51"/>
      <c r="GM70" s="51"/>
      <c r="GS70" s="51"/>
      <c r="GT70" s="51"/>
      <c r="GZ70" s="51"/>
      <c r="HA70" s="51"/>
      <c r="HG70" s="51"/>
      <c r="HH70" s="51"/>
      <c r="HN70" s="51"/>
      <c r="HO70" s="51"/>
    </row>
    <row r="71" customFormat="false" ht="15" hidden="false" customHeight="false" outlineLevel="0" collapsed="false">
      <c r="A71" s="0" t="str">
        <f aca="false">'Schedule Engine'!B70</f>
        <v>IW11</v>
      </c>
      <c r="B71" s="0" t="str">
        <f aca="false">'Schedule Engine'!E70</f>
        <v>Plumbing Rough</v>
      </c>
      <c r="C71" s="0" t="str">
        <f aca="false">'Schedule Engine'!F70</f>
        <v>Hays</v>
      </c>
      <c r="D71" s="0" t="str">
        <f aca="false">'Schedule Engine'!G70</f>
        <v>Hays</v>
      </c>
      <c r="E71" s="34" t="n">
        <f aca="false">'Schedule Engine'!N70</f>
        <v>46234</v>
      </c>
      <c r="F71" s="34" t="n">
        <f aca="false">'Schedule Engine'!O70</f>
        <v>46240</v>
      </c>
      <c r="G71" s="0" t="n">
        <f aca="false">'Schedule Engine'!K70</f>
        <v>5</v>
      </c>
      <c r="H71" s="0" t="n">
        <f aca="false">'Schedule Engine'!P70</f>
        <v>0</v>
      </c>
      <c r="L71" s="51"/>
      <c r="M71" s="51"/>
      <c r="S71" s="51"/>
      <c r="T71" s="51"/>
      <c r="Z71" s="51"/>
      <c r="AA71" s="51"/>
      <c r="AG71" s="51"/>
      <c r="AH71" s="51"/>
      <c r="AN71" s="51"/>
      <c r="AO71" s="51"/>
      <c r="AU71" s="51"/>
      <c r="AV71" s="51"/>
      <c r="BB71" s="51"/>
      <c r="BC71" s="51"/>
      <c r="BI71" s="51"/>
      <c r="BJ71" s="51"/>
      <c r="BP71" s="51"/>
      <c r="BQ71" s="51"/>
      <c r="BW71" s="51"/>
      <c r="BX71" s="51"/>
      <c r="CD71" s="51"/>
      <c r="CE71" s="51"/>
      <c r="CK71" s="51"/>
      <c r="CL71" s="51"/>
      <c r="CR71" s="51"/>
      <c r="CS71" s="51"/>
      <c r="CY71" s="51"/>
      <c r="CZ71" s="51"/>
      <c r="DF71" s="51"/>
      <c r="DG71" s="51"/>
      <c r="DM71" s="51"/>
      <c r="DN71" s="51"/>
      <c r="DT71" s="51"/>
      <c r="DU71" s="51"/>
      <c r="EA71" s="51"/>
      <c r="EB71" s="51"/>
      <c r="EH71" s="51"/>
      <c r="EI71" s="51"/>
      <c r="EO71" s="51"/>
      <c r="EP71" s="51"/>
      <c r="EV71" s="51"/>
      <c r="EW71" s="51"/>
      <c r="FC71" s="51"/>
      <c r="FD71" s="51"/>
      <c r="FJ71" s="51"/>
      <c r="FK71" s="51"/>
      <c r="FQ71" s="51"/>
      <c r="FR71" s="51"/>
      <c r="FX71" s="51"/>
      <c r="FY71" s="51"/>
      <c r="GE71" s="51"/>
      <c r="GF71" s="51"/>
      <c r="GL71" s="51"/>
      <c r="GM71" s="51"/>
      <c r="GS71" s="51"/>
      <c r="GT71" s="51"/>
      <c r="GZ71" s="51"/>
      <c r="HA71" s="51"/>
      <c r="HG71" s="51"/>
      <c r="HH71" s="51"/>
      <c r="HN71" s="51"/>
      <c r="HO71" s="51"/>
    </row>
    <row r="72" customFormat="false" ht="15" hidden="false" customHeight="false" outlineLevel="0" collapsed="false">
      <c r="A72" s="0" t="str">
        <f aca="false">'Schedule Engine'!B71</f>
        <v>IW11</v>
      </c>
      <c r="B72" s="0" t="str">
        <f aca="false">'Schedule Engine'!E71</f>
        <v>Electrical Rough</v>
      </c>
      <c r="C72" s="0" t="str">
        <f aca="false">'Schedule Engine'!F71</f>
        <v>Dave Kaler</v>
      </c>
      <c r="D72" s="0" t="n">
        <f aca="false">'Schedule Engine'!G71</f>
        <v>0</v>
      </c>
      <c r="E72" s="34" t="n">
        <f aca="false">'Schedule Engine'!N71</f>
        <v>46234</v>
      </c>
      <c r="F72" s="34" t="n">
        <f aca="false">'Schedule Engine'!O71</f>
        <v>46247</v>
      </c>
      <c r="G72" s="0" t="n">
        <f aca="false">'Schedule Engine'!K71</f>
        <v>10</v>
      </c>
      <c r="H72" s="0" t="n">
        <f aca="false">'Schedule Engine'!P71</f>
        <v>0</v>
      </c>
      <c r="L72" s="51"/>
      <c r="M72" s="51"/>
      <c r="S72" s="51"/>
      <c r="T72" s="51"/>
      <c r="Z72" s="51"/>
      <c r="AA72" s="51"/>
      <c r="AG72" s="51"/>
      <c r="AH72" s="51"/>
      <c r="AN72" s="51"/>
      <c r="AO72" s="51"/>
      <c r="AU72" s="51"/>
      <c r="AV72" s="51"/>
      <c r="BB72" s="51"/>
      <c r="BC72" s="51"/>
      <c r="BI72" s="51"/>
      <c r="BJ72" s="51"/>
      <c r="BP72" s="51"/>
      <c r="BQ72" s="51"/>
      <c r="BW72" s="51"/>
      <c r="BX72" s="51"/>
      <c r="CD72" s="51"/>
      <c r="CE72" s="51"/>
      <c r="CK72" s="51"/>
      <c r="CL72" s="51"/>
      <c r="CR72" s="51"/>
      <c r="CS72" s="51"/>
      <c r="CY72" s="51"/>
      <c r="CZ72" s="51"/>
      <c r="DF72" s="51"/>
      <c r="DG72" s="51"/>
      <c r="DM72" s="51"/>
      <c r="DN72" s="51"/>
      <c r="DT72" s="51"/>
      <c r="DU72" s="51"/>
      <c r="EA72" s="51"/>
      <c r="EB72" s="51"/>
      <c r="EH72" s="51"/>
      <c r="EI72" s="51"/>
      <c r="EO72" s="51"/>
      <c r="EP72" s="51"/>
      <c r="EV72" s="51"/>
      <c r="EW72" s="51"/>
      <c r="FC72" s="51"/>
      <c r="FD72" s="51"/>
      <c r="FJ72" s="51"/>
      <c r="FK72" s="51"/>
      <c r="FQ72" s="51"/>
      <c r="FR72" s="51"/>
      <c r="FX72" s="51"/>
      <c r="FY72" s="51"/>
      <c r="GE72" s="51"/>
      <c r="GF72" s="51"/>
      <c r="GL72" s="51"/>
      <c r="GM72" s="51"/>
      <c r="GS72" s="51"/>
      <c r="GT72" s="51"/>
      <c r="GZ72" s="51"/>
      <c r="HA72" s="51"/>
      <c r="HG72" s="51"/>
      <c r="HH72" s="51"/>
      <c r="HN72" s="51"/>
      <c r="HO72" s="51"/>
    </row>
    <row r="73" customFormat="false" ht="15" hidden="false" customHeight="false" outlineLevel="0" collapsed="false">
      <c r="A73" s="0" t="str">
        <f aca="false">'Schedule Engine'!B72</f>
        <v>IW11</v>
      </c>
      <c r="B73" s="0" t="str">
        <f aca="false">'Schedule Engine'!E72</f>
        <v>Insulation Walls</v>
      </c>
      <c r="C73" s="0" t="str">
        <f aca="false">'Schedule Engine'!F72</f>
        <v>Tyler Champion</v>
      </c>
      <c r="D73" s="0" t="n">
        <f aca="false">'Schedule Engine'!G72</f>
        <v>0</v>
      </c>
      <c r="E73" s="34" t="n">
        <f aca="false">'Schedule Engine'!N72</f>
        <v>46248</v>
      </c>
      <c r="F73" s="34" t="n">
        <f aca="false">'Schedule Engine'!O72</f>
        <v>46251</v>
      </c>
      <c r="G73" s="0" t="n">
        <f aca="false">'Schedule Engine'!K72</f>
        <v>2</v>
      </c>
      <c r="H73" s="0" t="n">
        <f aca="false">'Schedule Engine'!P72</f>
        <v>0</v>
      </c>
      <c r="L73" s="51"/>
      <c r="M73" s="51"/>
      <c r="S73" s="51"/>
      <c r="T73" s="51"/>
      <c r="Z73" s="51"/>
      <c r="AA73" s="51"/>
      <c r="AG73" s="51"/>
      <c r="AH73" s="51"/>
      <c r="AN73" s="51"/>
      <c r="AO73" s="51"/>
      <c r="AU73" s="51"/>
      <c r="AV73" s="51"/>
      <c r="BB73" s="51"/>
      <c r="BC73" s="51"/>
      <c r="BI73" s="51"/>
      <c r="BJ73" s="51"/>
      <c r="BP73" s="51"/>
      <c r="BQ73" s="51"/>
      <c r="BW73" s="51"/>
      <c r="BX73" s="51"/>
      <c r="CD73" s="51"/>
      <c r="CE73" s="51"/>
      <c r="CK73" s="51"/>
      <c r="CL73" s="51"/>
      <c r="CR73" s="51"/>
      <c r="CS73" s="51"/>
      <c r="CY73" s="51"/>
      <c r="CZ73" s="51"/>
      <c r="DF73" s="51"/>
      <c r="DG73" s="51"/>
      <c r="DM73" s="51"/>
      <c r="DN73" s="51"/>
      <c r="DT73" s="51"/>
      <c r="DU73" s="51"/>
      <c r="EA73" s="51"/>
      <c r="EB73" s="51"/>
      <c r="EH73" s="51"/>
      <c r="EI73" s="51"/>
      <c r="EO73" s="51"/>
      <c r="EP73" s="51"/>
      <c r="EV73" s="51"/>
      <c r="EW73" s="51"/>
      <c r="FC73" s="51"/>
      <c r="FD73" s="51"/>
      <c r="FJ73" s="51"/>
      <c r="FK73" s="51"/>
      <c r="FQ73" s="51"/>
      <c r="FR73" s="51"/>
      <c r="FX73" s="51"/>
      <c r="FY73" s="51"/>
      <c r="GE73" s="51"/>
      <c r="GF73" s="51"/>
      <c r="GL73" s="51"/>
      <c r="GM73" s="51"/>
      <c r="GS73" s="51"/>
      <c r="GT73" s="51"/>
      <c r="GZ73" s="51"/>
      <c r="HA73" s="51"/>
      <c r="HG73" s="51"/>
      <c r="HH73" s="51"/>
      <c r="HN73" s="51"/>
      <c r="HO73" s="51"/>
    </row>
    <row r="74" customFormat="false" ht="15" hidden="false" customHeight="false" outlineLevel="0" collapsed="false">
      <c r="A74" s="0" t="str">
        <f aca="false">'Schedule Engine'!B73</f>
        <v>IW11</v>
      </c>
      <c r="B74" s="0" t="str">
        <f aca="false">'Schedule Engine'!E73</f>
        <v>Sheetrock</v>
      </c>
      <c r="C74" s="0" t="str">
        <f aca="false">'Schedule Engine'!F73</f>
        <v>Bernall Constr.</v>
      </c>
      <c r="D74" s="0" t="n">
        <f aca="false">'Schedule Engine'!G73</f>
        <v>0</v>
      </c>
      <c r="E74" s="34" t="n">
        <f aca="false">'Schedule Engine'!N73</f>
        <v>46252</v>
      </c>
      <c r="F74" s="34" t="n">
        <f aca="false">'Schedule Engine'!O73</f>
        <v>46272</v>
      </c>
      <c r="G74" s="0" t="n">
        <f aca="false">'Schedule Engine'!K73</f>
        <v>15</v>
      </c>
      <c r="H74" s="0" t="n">
        <f aca="false">'Schedule Engine'!P73</f>
        <v>0</v>
      </c>
      <c r="L74" s="51"/>
      <c r="M74" s="51"/>
      <c r="S74" s="51"/>
      <c r="T74" s="51"/>
      <c r="Z74" s="51"/>
      <c r="AA74" s="51"/>
      <c r="AG74" s="51"/>
      <c r="AH74" s="51"/>
      <c r="AN74" s="51"/>
      <c r="AO74" s="51"/>
      <c r="AU74" s="51"/>
      <c r="AV74" s="51"/>
      <c r="BB74" s="51"/>
      <c r="BC74" s="51"/>
      <c r="BI74" s="51"/>
      <c r="BJ74" s="51"/>
      <c r="BP74" s="51"/>
      <c r="BQ74" s="51"/>
      <c r="BW74" s="51"/>
      <c r="BX74" s="51"/>
      <c r="CD74" s="51"/>
      <c r="CE74" s="51"/>
      <c r="CK74" s="51"/>
      <c r="CL74" s="51"/>
      <c r="CR74" s="51"/>
      <c r="CS74" s="51"/>
      <c r="CY74" s="51"/>
      <c r="CZ74" s="51"/>
      <c r="DF74" s="51"/>
      <c r="DG74" s="51"/>
      <c r="DM74" s="51"/>
      <c r="DN74" s="51"/>
      <c r="DT74" s="51"/>
      <c r="DU74" s="51"/>
      <c r="EA74" s="51"/>
      <c r="EB74" s="51"/>
      <c r="EH74" s="51"/>
      <c r="EI74" s="51"/>
      <c r="EO74" s="51"/>
      <c r="EP74" s="51"/>
      <c r="EV74" s="51"/>
      <c r="EW74" s="51"/>
      <c r="FC74" s="51"/>
      <c r="FD74" s="51"/>
      <c r="FJ74" s="51"/>
      <c r="FK74" s="51"/>
      <c r="FQ74" s="51"/>
      <c r="FR74" s="51"/>
      <c r="FX74" s="51"/>
      <c r="FY74" s="51"/>
      <c r="GE74" s="51"/>
      <c r="GF74" s="51"/>
      <c r="GL74" s="51"/>
      <c r="GM74" s="51"/>
      <c r="GS74" s="51"/>
      <c r="GT74" s="51"/>
      <c r="GZ74" s="51"/>
      <c r="HA74" s="51"/>
      <c r="HG74" s="51"/>
      <c r="HH74" s="51"/>
      <c r="HN74" s="51"/>
      <c r="HO74" s="51"/>
    </row>
    <row r="75" customFormat="false" ht="15" hidden="false" customHeight="false" outlineLevel="0" collapsed="false">
      <c r="A75" s="0" t="str">
        <f aca="false">'Schedule Engine'!B74</f>
        <v>IW11</v>
      </c>
      <c r="B75" s="0" t="str">
        <f aca="false">'Schedule Engine'!E74</f>
        <v>Painting Primer</v>
      </c>
      <c r="C75" s="0" t="str">
        <f aca="false">'Schedule Engine'!F74</f>
        <v>L&amp;L Painting</v>
      </c>
      <c r="D75" s="0" t="n">
        <f aca="false">'Schedule Engine'!G74</f>
        <v>0</v>
      </c>
      <c r="E75" s="34" t="n">
        <f aca="false">'Schedule Engine'!N74</f>
        <v>46273</v>
      </c>
      <c r="F75" s="34" t="n">
        <f aca="false">'Schedule Engine'!O74</f>
        <v>46275</v>
      </c>
      <c r="G75" s="0" t="n">
        <f aca="false">'Schedule Engine'!K74</f>
        <v>3</v>
      </c>
      <c r="H75" s="0" t="n">
        <f aca="false">'Schedule Engine'!P74</f>
        <v>0</v>
      </c>
      <c r="L75" s="51"/>
      <c r="M75" s="51"/>
      <c r="S75" s="51"/>
      <c r="T75" s="51"/>
      <c r="Z75" s="51"/>
      <c r="AA75" s="51"/>
      <c r="AG75" s="51"/>
      <c r="AH75" s="51"/>
      <c r="AN75" s="51"/>
      <c r="AO75" s="51"/>
      <c r="AU75" s="51"/>
      <c r="AV75" s="51"/>
      <c r="BB75" s="51"/>
      <c r="BC75" s="51"/>
      <c r="BI75" s="51"/>
      <c r="BJ75" s="51"/>
      <c r="BP75" s="51"/>
      <c r="BQ75" s="51"/>
      <c r="BW75" s="51"/>
      <c r="BX75" s="51"/>
      <c r="CD75" s="51"/>
      <c r="CE75" s="51"/>
      <c r="CK75" s="51"/>
      <c r="CL75" s="51"/>
      <c r="CR75" s="51"/>
      <c r="CS75" s="51"/>
      <c r="CY75" s="51"/>
      <c r="CZ75" s="51"/>
      <c r="DF75" s="51"/>
      <c r="DG75" s="51"/>
      <c r="DM75" s="51"/>
      <c r="DN75" s="51"/>
      <c r="DT75" s="51"/>
      <c r="DU75" s="51"/>
      <c r="EA75" s="51"/>
      <c r="EB75" s="51"/>
      <c r="EH75" s="51"/>
      <c r="EI75" s="51"/>
      <c r="EO75" s="51"/>
      <c r="EP75" s="51"/>
      <c r="EV75" s="51"/>
      <c r="EW75" s="51"/>
      <c r="FC75" s="51"/>
      <c r="FD75" s="51"/>
      <c r="FJ75" s="51"/>
      <c r="FK75" s="51"/>
      <c r="FQ75" s="51"/>
      <c r="FR75" s="51"/>
      <c r="FX75" s="51"/>
      <c r="FY75" s="51"/>
      <c r="GE75" s="51"/>
      <c r="GF75" s="51"/>
      <c r="GL75" s="51"/>
      <c r="GM75" s="51"/>
      <c r="GS75" s="51"/>
      <c r="GT75" s="51"/>
      <c r="GZ75" s="51"/>
      <c r="HA75" s="51"/>
      <c r="HG75" s="51"/>
      <c r="HH75" s="51"/>
      <c r="HN75" s="51"/>
      <c r="HO75" s="51"/>
    </row>
    <row r="76" customFormat="false" ht="15" hidden="false" customHeight="false" outlineLevel="0" collapsed="false">
      <c r="A76" s="0" t="str">
        <f aca="false">'Schedule Engine'!B75</f>
        <v>IW11</v>
      </c>
      <c r="B76" s="0" t="str">
        <f aca="false">'Schedule Engine'!E75</f>
        <v>Garage Doors</v>
      </c>
      <c r="C76" s="0" t="str">
        <f aca="false">'Schedule Engine'!F75</f>
        <v>Danny Liedecher</v>
      </c>
      <c r="D76" s="0" t="n">
        <f aca="false">'Schedule Engine'!G75</f>
        <v>0</v>
      </c>
      <c r="E76" s="34" t="n">
        <f aca="false">'Schedule Engine'!N75</f>
        <v>46276</v>
      </c>
      <c r="F76" s="34" t="n">
        <f aca="false">'Schedule Engine'!O75</f>
        <v>46279</v>
      </c>
      <c r="G76" s="0" t="n">
        <f aca="false">'Schedule Engine'!K75</f>
        <v>2</v>
      </c>
      <c r="H76" s="0" t="n">
        <f aca="false">'Schedule Engine'!P75</f>
        <v>0</v>
      </c>
      <c r="L76" s="51"/>
      <c r="M76" s="51"/>
      <c r="S76" s="51"/>
      <c r="T76" s="51"/>
      <c r="Z76" s="51"/>
      <c r="AA76" s="51"/>
      <c r="AG76" s="51"/>
      <c r="AH76" s="51"/>
      <c r="AN76" s="51"/>
      <c r="AO76" s="51"/>
      <c r="AU76" s="51"/>
      <c r="AV76" s="51"/>
      <c r="BB76" s="51"/>
      <c r="BC76" s="51"/>
      <c r="BI76" s="51"/>
      <c r="BJ76" s="51"/>
      <c r="BP76" s="51"/>
      <c r="BQ76" s="51"/>
      <c r="BW76" s="51"/>
      <c r="BX76" s="51"/>
      <c r="CD76" s="51"/>
      <c r="CE76" s="51"/>
      <c r="CK76" s="51"/>
      <c r="CL76" s="51"/>
      <c r="CR76" s="51"/>
      <c r="CS76" s="51"/>
      <c r="CY76" s="51"/>
      <c r="CZ76" s="51"/>
      <c r="DF76" s="51"/>
      <c r="DG76" s="51"/>
      <c r="DM76" s="51"/>
      <c r="DN76" s="51"/>
      <c r="DT76" s="51"/>
      <c r="DU76" s="51"/>
      <c r="EA76" s="51"/>
      <c r="EB76" s="51"/>
      <c r="EH76" s="51"/>
      <c r="EI76" s="51"/>
      <c r="EO76" s="51"/>
      <c r="EP76" s="51"/>
      <c r="EV76" s="51"/>
      <c r="EW76" s="51"/>
      <c r="FC76" s="51"/>
      <c r="FD76" s="51"/>
      <c r="FJ76" s="51"/>
      <c r="FK76" s="51"/>
      <c r="FQ76" s="51"/>
      <c r="FR76" s="51"/>
      <c r="FX76" s="51"/>
      <c r="FY76" s="51"/>
      <c r="GE76" s="51"/>
      <c r="GF76" s="51"/>
      <c r="GL76" s="51"/>
      <c r="GM76" s="51"/>
      <c r="GS76" s="51"/>
      <c r="GT76" s="51"/>
      <c r="GZ76" s="51"/>
      <c r="HA76" s="51"/>
      <c r="HG76" s="51"/>
      <c r="HH76" s="51"/>
      <c r="HN76" s="51"/>
      <c r="HO76" s="51"/>
    </row>
    <row r="77" customFormat="false" ht="15" hidden="false" customHeight="false" outlineLevel="0" collapsed="false">
      <c r="A77" s="0" t="str">
        <f aca="false">'Schedule Engine'!B76</f>
        <v>IW11</v>
      </c>
      <c r="B77" s="0" t="str">
        <f aca="false">'Schedule Engine'!E76</f>
        <v>Flooring</v>
      </c>
      <c r="C77" s="0" t="str">
        <f aca="false">'Schedule Engine'!F76</f>
        <v>LW Contracting</v>
      </c>
      <c r="D77" s="0" t="n">
        <f aca="false">'Schedule Engine'!G76</f>
        <v>0</v>
      </c>
      <c r="E77" s="34" t="n">
        <f aca="false">'Schedule Engine'!N76</f>
        <v>46276</v>
      </c>
      <c r="F77" s="34" t="n">
        <f aca="false">'Schedule Engine'!O76</f>
        <v>46282</v>
      </c>
      <c r="G77" s="0" t="n">
        <f aca="false">'Schedule Engine'!K76</f>
        <v>5</v>
      </c>
      <c r="H77" s="0" t="n">
        <f aca="false">'Schedule Engine'!P76</f>
        <v>0</v>
      </c>
      <c r="L77" s="51"/>
      <c r="M77" s="51"/>
      <c r="S77" s="51"/>
      <c r="T77" s="51"/>
      <c r="Z77" s="51"/>
      <c r="AA77" s="51"/>
      <c r="AG77" s="51"/>
      <c r="AH77" s="51"/>
      <c r="AN77" s="51"/>
      <c r="AO77" s="51"/>
      <c r="AU77" s="51"/>
      <c r="AV77" s="51"/>
      <c r="BB77" s="51"/>
      <c r="BC77" s="51"/>
      <c r="BI77" s="51"/>
      <c r="BJ77" s="51"/>
      <c r="BP77" s="51"/>
      <c r="BQ77" s="51"/>
      <c r="BW77" s="51"/>
      <c r="BX77" s="51"/>
      <c r="CD77" s="51"/>
      <c r="CE77" s="51"/>
      <c r="CK77" s="51"/>
      <c r="CL77" s="51"/>
      <c r="CR77" s="51"/>
      <c r="CS77" s="51"/>
      <c r="CY77" s="51"/>
      <c r="CZ77" s="51"/>
      <c r="DF77" s="51"/>
      <c r="DG77" s="51"/>
      <c r="DM77" s="51"/>
      <c r="DN77" s="51"/>
      <c r="DT77" s="51"/>
      <c r="DU77" s="51"/>
      <c r="EA77" s="51"/>
      <c r="EB77" s="51"/>
      <c r="EH77" s="51"/>
      <c r="EI77" s="51"/>
      <c r="EO77" s="51"/>
      <c r="EP77" s="51"/>
      <c r="EV77" s="51"/>
      <c r="EW77" s="51"/>
      <c r="FC77" s="51"/>
      <c r="FD77" s="51"/>
      <c r="FJ77" s="51"/>
      <c r="FK77" s="51"/>
      <c r="FQ77" s="51"/>
      <c r="FR77" s="51"/>
      <c r="FX77" s="51"/>
      <c r="FY77" s="51"/>
      <c r="GE77" s="51"/>
      <c r="GF77" s="51"/>
      <c r="GL77" s="51"/>
      <c r="GM77" s="51"/>
      <c r="GS77" s="51"/>
      <c r="GT77" s="51"/>
      <c r="GZ77" s="51"/>
      <c r="HA77" s="51"/>
      <c r="HG77" s="51"/>
      <c r="HH77" s="51"/>
      <c r="HN77" s="51"/>
      <c r="HO77" s="51"/>
    </row>
    <row r="78" customFormat="false" ht="15" hidden="false" customHeight="false" outlineLevel="0" collapsed="false">
      <c r="A78" s="0" t="str">
        <f aca="false">'Schedule Engine'!B77</f>
        <v>IW11</v>
      </c>
      <c r="B78" s="0" t="str">
        <f aca="false">'Schedule Engine'!E77</f>
        <v>Tile Work</v>
      </c>
      <c r="C78" s="0" t="str">
        <f aca="false">'Schedule Engine'!F77</f>
        <v>LW Contracting</v>
      </c>
      <c r="D78" s="0" t="n">
        <f aca="false">'Schedule Engine'!G77</f>
        <v>0</v>
      </c>
      <c r="E78" s="34" t="n">
        <f aca="false">'Schedule Engine'!N77</f>
        <v>46276</v>
      </c>
      <c r="F78" s="34" t="n">
        <f aca="false">'Schedule Engine'!O77</f>
        <v>46287</v>
      </c>
      <c r="G78" s="0" t="n">
        <f aca="false">'Schedule Engine'!K77</f>
        <v>8</v>
      </c>
      <c r="H78" s="0" t="n">
        <f aca="false">'Schedule Engine'!P77</f>
        <v>0</v>
      </c>
      <c r="L78" s="51"/>
      <c r="M78" s="51"/>
      <c r="S78" s="51"/>
      <c r="T78" s="51"/>
      <c r="Z78" s="51"/>
      <c r="AA78" s="51"/>
      <c r="AG78" s="51"/>
      <c r="AH78" s="51"/>
      <c r="AN78" s="51"/>
      <c r="AO78" s="51"/>
      <c r="AU78" s="51"/>
      <c r="AV78" s="51"/>
      <c r="BB78" s="51"/>
      <c r="BC78" s="51"/>
      <c r="BI78" s="51"/>
      <c r="BJ78" s="51"/>
      <c r="BP78" s="51"/>
      <c r="BQ78" s="51"/>
      <c r="BW78" s="51"/>
      <c r="BX78" s="51"/>
      <c r="CD78" s="51"/>
      <c r="CE78" s="51"/>
      <c r="CK78" s="51"/>
      <c r="CL78" s="51"/>
      <c r="CR78" s="51"/>
      <c r="CS78" s="51"/>
      <c r="CY78" s="51"/>
      <c r="CZ78" s="51"/>
      <c r="DF78" s="51"/>
      <c r="DG78" s="51"/>
      <c r="DM78" s="51"/>
      <c r="DN78" s="51"/>
      <c r="DT78" s="51"/>
      <c r="DU78" s="51"/>
      <c r="EA78" s="51"/>
      <c r="EB78" s="51"/>
      <c r="EH78" s="51"/>
      <c r="EI78" s="51"/>
      <c r="EO78" s="51"/>
      <c r="EP78" s="51"/>
      <c r="EV78" s="51"/>
      <c r="EW78" s="51"/>
      <c r="FC78" s="51"/>
      <c r="FD78" s="51"/>
      <c r="FJ78" s="51"/>
      <c r="FK78" s="51"/>
      <c r="FQ78" s="51"/>
      <c r="FR78" s="51"/>
      <c r="FX78" s="51"/>
      <c r="FY78" s="51"/>
      <c r="GE78" s="51"/>
      <c r="GF78" s="51"/>
      <c r="GL78" s="51"/>
      <c r="GM78" s="51"/>
      <c r="GS78" s="51"/>
      <c r="GT78" s="51"/>
      <c r="GZ78" s="51"/>
      <c r="HA78" s="51"/>
      <c r="HG78" s="51"/>
      <c r="HH78" s="51"/>
      <c r="HN78" s="51"/>
      <c r="HO78" s="51"/>
    </row>
    <row r="79" customFormat="false" ht="15" hidden="false" customHeight="false" outlineLevel="0" collapsed="false">
      <c r="A79" s="0" t="str">
        <f aca="false">'Schedule Engine'!B78</f>
        <v>IW11</v>
      </c>
      <c r="B79" s="0" t="str">
        <f aca="false">'Schedule Engine'!E78</f>
        <v>Trim Interior</v>
      </c>
      <c r="C79" s="0" t="str">
        <f aca="false">'Schedule Engine'!F78</f>
        <v>Matt Thorne</v>
      </c>
      <c r="D79" s="0" t="str">
        <f aca="false">'Schedule Engine'!G78</f>
        <v>Matt Thorne</v>
      </c>
      <c r="E79" s="34" t="n">
        <f aca="false">'Schedule Engine'!N78</f>
        <v>46283</v>
      </c>
      <c r="F79" s="34" t="n">
        <f aca="false">'Schedule Engine'!O78</f>
        <v>46310</v>
      </c>
      <c r="G79" s="0" t="n">
        <f aca="false">'Schedule Engine'!K78</f>
        <v>20</v>
      </c>
      <c r="H79" s="0" t="n">
        <f aca="false">'Schedule Engine'!P78</f>
        <v>0</v>
      </c>
      <c r="L79" s="51"/>
      <c r="M79" s="51"/>
      <c r="S79" s="51"/>
      <c r="T79" s="51"/>
      <c r="Z79" s="51"/>
      <c r="AA79" s="51"/>
      <c r="AG79" s="51"/>
      <c r="AH79" s="51"/>
      <c r="AN79" s="51"/>
      <c r="AO79" s="51"/>
      <c r="AU79" s="51"/>
      <c r="AV79" s="51"/>
      <c r="BB79" s="51"/>
      <c r="BC79" s="51"/>
      <c r="BI79" s="51"/>
      <c r="BJ79" s="51"/>
      <c r="BP79" s="51"/>
      <c r="BQ79" s="51"/>
      <c r="BW79" s="51"/>
      <c r="BX79" s="51"/>
      <c r="CD79" s="51"/>
      <c r="CE79" s="51"/>
      <c r="CK79" s="51"/>
      <c r="CL79" s="51"/>
      <c r="CR79" s="51"/>
      <c r="CS79" s="51"/>
      <c r="CY79" s="51"/>
      <c r="CZ79" s="51"/>
      <c r="DF79" s="51"/>
      <c r="DG79" s="51"/>
      <c r="DM79" s="51"/>
      <c r="DN79" s="51"/>
      <c r="DT79" s="51"/>
      <c r="DU79" s="51"/>
      <c r="EA79" s="51"/>
      <c r="EB79" s="51"/>
      <c r="EH79" s="51"/>
      <c r="EI79" s="51"/>
      <c r="EO79" s="51"/>
      <c r="EP79" s="51"/>
      <c r="EV79" s="51"/>
      <c r="EW79" s="51"/>
      <c r="FC79" s="51"/>
      <c r="FD79" s="51"/>
      <c r="FJ79" s="51"/>
      <c r="FK79" s="51"/>
      <c r="FQ79" s="51"/>
      <c r="FR79" s="51"/>
      <c r="FX79" s="51"/>
      <c r="FY79" s="51"/>
      <c r="GE79" s="51"/>
      <c r="GF79" s="51"/>
      <c r="GL79" s="51"/>
      <c r="GM79" s="51"/>
      <c r="GS79" s="51"/>
      <c r="GT79" s="51"/>
      <c r="GZ79" s="51"/>
      <c r="HA79" s="51"/>
      <c r="HG79" s="51"/>
      <c r="HH79" s="51"/>
      <c r="HN79" s="51"/>
      <c r="HO79" s="51"/>
    </row>
    <row r="80" customFormat="false" ht="15" hidden="false" customHeight="false" outlineLevel="0" collapsed="false">
      <c r="A80" s="0" t="str">
        <f aca="false">'Schedule Engine'!B79</f>
        <v>IW11</v>
      </c>
      <c r="B80" s="0" t="str">
        <f aca="false">'Schedule Engine'!E79</f>
        <v>Trim Exterior</v>
      </c>
      <c r="C80" s="0" t="str">
        <f aca="false">'Schedule Engine'!F79</f>
        <v>Matt Thorne</v>
      </c>
      <c r="D80" s="0" t="str">
        <f aca="false">'Schedule Engine'!G79</f>
        <v>Matt Thorne</v>
      </c>
      <c r="E80" s="34" t="n">
        <f aca="false">'Schedule Engine'!N79</f>
        <v>46268</v>
      </c>
      <c r="F80" s="34" t="n">
        <f aca="false">'Schedule Engine'!O79</f>
        <v>46269</v>
      </c>
      <c r="G80" s="0" t="n">
        <f aca="false">'Schedule Engine'!K79</f>
        <v>2</v>
      </c>
      <c r="H80" s="0" t="n">
        <f aca="false">'Schedule Engine'!P79</f>
        <v>0</v>
      </c>
      <c r="L80" s="51"/>
      <c r="M80" s="51"/>
      <c r="S80" s="51"/>
      <c r="T80" s="51"/>
      <c r="Z80" s="51"/>
      <c r="AA80" s="51"/>
      <c r="AG80" s="51"/>
      <c r="AH80" s="51"/>
      <c r="AN80" s="51"/>
      <c r="AO80" s="51"/>
      <c r="AU80" s="51"/>
      <c r="AV80" s="51"/>
      <c r="BB80" s="51"/>
      <c r="BC80" s="51"/>
      <c r="BI80" s="51"/>
      <c r="BJ80" s="51"/>
      <c r="BP80" s="51"/>
      <c r="BQ80" s="51"/>
      <c r="BW80" s="51"/>
      <c r="BX80" s="51"/>
      <c r="CD80" s="51"/>
      <c r="CE80" s="51"/>
      <c r="CK80" s="51"/>
      <c r="CL80" s="51"/>
      <c r="CR80" s="51"/>
      <c r="CS80" s="51"/>
      <c r="CY80" s="51"/>
      <c r="CZ80" s="51"/>
      <c r="DF80" s="51"/>
      <c r="DG80" s="51"/>
      <c r="DM80" s="51"/>
      <c r="DN80" s="51"/>
      <c r="DT80" s="51"/>
      <c r="DU80" s="51"/>
      <c r="EA80" s="51"/>
      <c r="EB80" s="51"/>
      <c r="EH80" s="51"/>
      <c r="EI80" s="51"/>
      <c r="EO80" s="51"/>
      <c r="EP80" s="51"/>
      <c r="EV80" s="51"/>
      <c r="EW80" s="51"/>
      <c r="FC80" s="51"/>
      <c r="FD80" s="51"/>
      <c r="FJ80" s="51"/>
      <c r="FK80" s="51"/>
      <c r="FQ80" s="51"/>
      <c r="FR80" s="51"/>
      <c r="FX80" s="51"/>
      <c r="FY80" s="51"/>
      <c r="GE80" s="51"/>
      <c r="GF80" s="51"/>
      <c r="GL80" s="51"/>
      <c r="GM80" s="51"/>
      <c r="GS80" s="51"/>
      <c r="GT80" s="51"/>
      <c r="GZ80" s="51"/>
      <c r="HA80" s="51"/>
      <c r="HG80" s="51"/>
      <c r="HH80" s="51"/>
      <c r="HN80" s="51"/>
      <c r="HO80" s="51"/>
    </row>
    <row r="81" customFormat="false" ht="15" hidden="false" customHeight="false" outlineLevel="0" collapsed="false">
      <c r="A81" s="0" t="str">
        <f aca="false">'Schedule Engine'!B80</f>
        <v>IW11</v>
      </c>
      <c r="B81" s="0" t="str">
        <f aca="false">'Schedule Engine'!E80</f>
        <v>Cabinets</v>
      </c>
      <c r="C81" s="0" t="str">
        <f aca="false">'Schedule Engine'!F80</f>
        <v>Whittmer</v>
      </c>
      <c r="D81" s="0" t="n">
        <f aca="false">'Schedule Engine'!G80</f>
        <v>0</v>
      </c>
      <c r="E81" s="34" t="n">
        <f aca="false">'Schedule Engine'!N80</f>
        <v>46283</v>
      </c>
      <c r="F81" s="34" t="n">
        <f aca="false">'Schedule Engine'!O80</f>
        <v>46287</v>
      </c>
      <c r="G81" s="0" t="n">
        <f aca="false">'Schedule Engine'!K80</f>
        <v>3</v>
      </c>
      <c r="H81" s="0" t="n">
        <f aca="false">'Schedule Engine'!P80</f>
        <v>0</v>
      </c>
      <c r="L81" s="51"/>
      <c r="M81" s="51"/>
      <c r="S81" s="51"/>
      <c r="T81" s="51"/>
      <c r="Z81" s="51"/>
      <c r="AA81" s="51"/>
      <c r="AG81" s="51"/>
      <c r="AH81" s="51"/>
      <c r="AN81" s="51"/>
      <c r="AO81" s="51"/>
      <c r="AU81" s="51"/>
      <c r="AV81" s="51"/>
      <c r="BB81" s="51"/>
      <c r="BC81" s="51"/>
      <c r="BI81" s="51"/>
      <c r="BJ81" s="51"/>
      <c r="BP81" s="51"/>
      <c r="BQ81" s="51"/>
      <c r="BW81" s="51"/>
      <c r="BX81" s="51"/>
      <c r="CD81" s="51"/>
      <c r="CE81" s="51"/>
      <c r="CK81" s="51"/>
      <c r="CL81" s="51"/>
      <c r="CR81" s="51"/>
      <c r="CS81" s="51"/>
      <c r="CY81" s="51"/>
      <c r="CZ81" s="51"/>
      <c r="DF81" s="51"/>
      <c r="DG81" s="51"/>
      <c r="DM81" s="51"/>
      <c r="DN81" s="51"/>
      <c r="DT81" s="51"/>
      <c r="DU81" s="51"/>
      <c r="EA81" s="51"/>
      <c r="EB81" s="51"/>
      <c r="EH81" s="51"/>
      <c r="EI81" s="51"/>
      <c r="EO81" s="51"/>
      <c r="EP81" s="51"/>
      <c r="EV81" s="51"/>
      <c r="EW81" s="51"/>
      <c r="FC81" s="51"/>
      <c r="FD81" s="51"/>
      <c r="FJ81" s="51"/>
      <c r="FK81" s="51"/>
      <c r="FQ81" s="51"/>
      <c r="FR81" s="51"/>
      <c r="FX81" s="51"/>
      <c r="FY81" s="51"/>
      <c r="GE81" s="51"/>
      <c r="GF81" s="51"/>
      <c r="GL81" s="51"/>
      <c r="GM81" s="51"/>
      <c r="GS81" s="51"/>
      <c r="GT81" s="51"/>
      <c r="GZ81" s="51"/>
      <c r="HA81" s="51"/>
      <c r="HG81" s="51"/>
      <c r="HH81" s="51"/>
      <c r="HN81" s="51"/>
      <c r="HO81" s="51"/>
    </row>
    <row r="82" customFormat="false" ht="15" hidden="false" customHeight="false" outlineLevel="0" collapsed="false">
      <c r="A82" s="0" t="str">
        <f aca="false">'Schedule Engine'!B81</f>
        <v>IW11</v>
      </c>
      <c r="B82" s="0" t="str">
        <f aca="false">'Schedule Engine'!E81</f>
        <v>Countertops</v>
      </c>
      <c r="C82" s="0" t="str">
        <f aca="false">'Schedule Engine'!F81</f>
        <v>Tate Granit</v>
      </c>
      <c r="D82" s="0" t="n">
        <f aca="false">'Schedule Engine'!G81</f>
        <v>0</v>
      </c>
      <c r="E82" s="34" t="n">
        <f aca="false">'Schedule Engine'!N81</f>
        <v>46288</v>
      </c>
      <c r="F82" s="34" t="n">
        <f aca="false">'Schedule Engine'!O81</f>
        <v>46289</v>
      </c>
      <c r="G82" s="0" t="n">
        <f aca="false">'Schedule Engine'!K81</f>
        <v>2</v>
      </c>
      <c r="H82" s="0" t="n">
        <f aca="false">'Schedule Engine'!P81</f>
        <v>0</v>
      </c>
      <c r="L82" s="51"/>
      <c r="M82" s="51"/>
      <c r="S82" s="51"/>
      <c r="T82" s="51"/>
      <c r="Z82" s="51"/>
      <c r="AA82" s="51"/>
      <c r="AG82" s="51"/>
      <c r="AH82" s="51"/>
      <c r="AN82" s="51"/>
      <c r="AO82" s="51"/>
      <c r="AU82" s="51"/>
      <c r="AV82" s="51"/>
      <c r="BB82" s="51"/>
      <c r="BC82" s="51"/>
      <c r="BI82" s="51"/>
      <c r="BJ82" s="51"/>
      <c r="BP82" s="51"/>
      <c r="BQ82" s="51"/>
      <c r="BW82" s="51"/>
      <c r="BX82" s="51"/>
      <c r="CD82" s="51"/>
      <c r="CE82" s="51"/>
      <c r="CK82" s="51"/>
      <c r="CL82" s="51"/>
      <c r="CR82" s="51"/>
      <c r="CS82" s="51"/>
      <c r="CY82" s="51"/>
      <c r="CZ82" s="51"/>
      <c r="DF82" s="51"/>
      <c r="DG82" s="51"/>
      <c r="DM82" s="51"/>
      <c r="DN82" s="51"/>
      <c r="DT82" s="51"/>
      <c r="DU82" s="51"/>
      <c r="EA82" s="51"/>
      <c r="EB82" s="51"/>
      <c r="EH82" s="51"/>
      <c r="EI82" s="51"/>
      <c r="EO82" s="51"/>
      <c r="EP82" s="51"/>
      <c r="EV82" s="51"/>
      <c r="EW82" s="51"/>
      <c r="FC82" s="51"/>
      <c r="FD82" s="51"/>
      <c r="FJ82" s="51"/>
      <c r="FK82" s="51"/>
      <c r="FQ82" s="51"/>
      <c r="FR82" s="51"/>
      <c r="FX82" s="51"/>
      <c r="FY82" s="51"/>
      <c r="GE82" s="51"/>
      <c r="GF82" s="51"/>
      <c r="GL82" s="51"/>
      <c r="GM82" s="51"/>
      <c r="GS82" s="51"/>
      <c r="GT82" s="51"/>
      <c r="GZ82" s="51"/>
      <c r="HA82" s="51"/>
      <c r="HG82" s="51"/>
      <c r="HH82" s="51"/>
      <c r="HN82" s="51"/>
      <c r="HO82" s="51"/>
    </row>
    <row r="83" customFormat="false" ht="15" hidden="false" customHeight="false" outlineLevel="0" collapsed="false">
      <c r="A83" s="0" t="str">
        <f aca="false">'Schedule Engine'!B82</f>
        <v>IW11</v>
      </c>
      <c r="B83" s="0" t="str">
        <f aca="false">'Schedule Engine'!E82</f>
        <v>Painting Main</v>
      </c>
      <c r="C83" s="0" t="str">
        <f aca="false">'Schedule Engine'!F82</f>
        <v>L&amp;L Painting</v>
      </c>
      <c r="D83" s="0" t="n">
        <f aca="false">'Schedule Engine'!G82</f>
        <v>0</v>
      </c>
      <c r="E83" s="34" t="n">
        <f aca="false">'Schedule Engine'!N82</f>
        <v>46290</v>
      </c>
      <c r="F83" s="34" t="n">
        <f aca="false">'Schedule Engine'!O82</f>
        <v>46303</v>
      </c>
      <c r="G83" s="0" t="n">
        <f aca="false">'Schedule Engine'!K82</f>
        <v>10</v>
      </c>
      <c r="H83" s="0" t="n">
        <f aca="false">'Schedule Engine'!P82</f>
        <v>0</v>
      </c>
      <c r="L83" s="51"/>
      <c r="M83" s="51"/>
      <c r="S83" s="51"/>
      <c r="T83" s="51"/>
      <c r="Z83" s="51"/>
      <c r="AA83" s="51"/>
      <c r="AG83" s="51"/>
      <c r="AH83" s="51"/>
      <c r="AN83" s="51"/>
      <c r="AO83" s="51"/>
      <c r="AU83" s="51"/>
      <c r="AV83" s="51"/>
      <c r="BB83" s="51"/>
      <c r="BC83" s="51"/>
      <c r="BI83" s="51"/>
      <c r="BJ83" s="51"/>
      <c r="BP83" s="51"/>
      <c r="BQ83" s="51"/>
      <c r="BW83" s="51"/>
      <c r="BX83" s="51"/>
      <c r="CD83" s="51"/>
      <c r="CE83" s="51"/>
      <c r="CK83" s="51"/>
      <c r="CL83" s="51"/>
      <c r="CR83" s="51"/>
      <c r="CS83" s="51"/>
      <c r="CY83" s="51"/>
      <c r="CZ83" s="51"/>
      <c r="DF83" s="51"/>
      <c r="DG83" s="51"/>
      <c r="DM83" s="51"/>
      <c r="DN83" s="51"/>
      <c r="DT83" s="51"/>
      <c r="DU83" s="51"/>
      <c r="EA83" s="51"/>
      <c r="EB83" s="51"/>
      <c r="EH83" s="51"/>
      <c r="EI83" s="51"/>
      <c r="EO83" s="51"/>
      <c r="EP83" s="51"/>
      <c r="EV83" s="51"/>
      <c r="EW83" s="51"/>
      <c r="FC83" s="51"/>
      <c r="FD83" s="51"/>
      <c r="FJ83" s="51"/>
      <c r="FK83" s="51"/>
      <c r="FQ83" s="51"/>
      <c r="FR83" s="51"/>
      <c r="FX83" s="51"/>
      <c r="FY83" s="51"/>
      <c r="GE83" s="51"/>
      <c r="GF83" s="51"/>
      <c r="GL83" s="51"/>
      <c r="GM83" s="51"/>
      <c r="GS83" s="51"/>
      <c r="GT83" s="51"/>
      <c r="GZ83" s="51"/>
      <c r="HA83" s="51"/>
      <c r="HG83" s="51"/>
      <c r="HH83" s="51"/>
      <c r="HN83" s="51"/>
      <c r="HO83" s="51"/>
    </row>
    <row r="84" customFormat="false" ht="15" hidden="false" customHeight="false" outlineLevel="0" collapsed="false">
      <c r="A84" s="0" t="str">
        <f aca="false">'Schedule Engine'!B83</f>
        <v>IW11</v>
      </c>
      <c r="B84" s="0" t="str">
        <f aca="false">'Schedule Engine'!E83</f>
        <v>Appliances</v>
      </c>
      <c r="C84" s="0" t="str">
        <f aca="false">'Schedule Engine'!F83</f>
        <v>Dave Kaler</v>
      </c>
      <c r="D84" s="0" t="n">
        <f aca="false">'Schedule Engine'!G83</f>
        <v>0</v>
      </c>
      <c r="E84" s="34" t="n">
        <f aca="false">'Schedule Engine'!N83</f>
        <v>46290</v>
      </c>
      <c r="F84" s="34" t="n">
        <f aca="false">'Schedule Engine'!O83</f>
        <v>46293</v>
      </c>
      <c r="G84" s="0" t="n">
        <f aca="false">'Schedule Engine'!K83</f>
        <v>2</v>
      </c>
      <c r="H84" s="0" t="n">
        <f aca="false">'Schedule Engine'!P83</f>
        <v>0</v>
      </c>
      <c r="L84" s="51"/>
      <c r="M84" s="51"/>
      <c r="S84" s="51"/>
      <c r="T84" s="51"/>
      <c r="Z84" s="51"/>
      <c r="AA84" s="51"/>
      <c r="AG84" s="51"/>
      <c r="AH84" s="51"/>
      <c r="AN84" s="51"/>
      <c r="AO84" s="51"/>
      <c r="AU84" s="51"/>
      <c r="AV84" s="51"/>
      <c r="BB84" s="51"/>
      <c r="BC84" s="51"/>
      <c r="BI84" s="51"/>
      <c r="BJ84" s="51"/>
      <c r="BP84" s="51"/>
      <c r="BQ84" s="51"/>
      <c r="BW84" s="51"/>
      <c r="BX84" s="51"/>
      <c r="CD84" s="51"/>
      <c r="CE84" s="51"/>
      <c r="CK84" s="51"/>
      <c r="CL84" s="51"/>
      <c r="CR84" s="51"/>
      <c r="CS84" s="51"/>
      <c r="CY84" s="51"/>
      <c r="CZ84" s="51"/>
      <c r="DF84" s="51"/>
      <c r="DG84" s="51"/>
      <c r="DM84" s="51"/>
      <c r="DN84" s="51"/>
      <c r="DT84" s="51"/>
      <c r="DU84" s="51"/>
      <c r="EA84" s="51"/>
      <c r="EB84" s="51"/>
      <c r="EH84" s="51"/>
      <c r="EI84" s="51"/>
      <c r="EO84" s="51"/>
      <c r="EP84" s="51"/>
      <c r="EV84" s="51"/>
      <c r="EW84" s="51"/>
      <c r="FC84" s="51"/>
      <c r="FD84" s="51"/>
      <c r="FJ84" s="51"/>
      <c r="FK84" s="51"/>
      <c r="FQ84" s="51"/>
      <c r="FR84" s="51"/>
      <c r="FX84" s="51"/>
      <c r="FY84" s="51"/>
      <c r="GE84" s="51"/>
      <c r="GF84" s="51"/>
      <c r="GL84" s="51"/>
      <c r="GM84" s="51"/>
      <c r="GS84" s="51"/>
      <c r="GT84" s="51"/>
      <c r="GZ84" s="51"/>
      <c r="HA84" s="51"/>
      <c r="HG84" s="51"/>
      <c r="HH84" s="51"/>
      <c r="HN84" s="51"/>
      <c r="HO84" s="51"/>
    </row>
    <row r="85" customFormat="false" ht="15" hidden="false" customHeight="false" outlineLevel="0" collapsed="false">
      <c r="A85" s="0" t="str">
        <f aca="false">'Schedule Engine'!B84</f>
        <v>IW11</v>
      </c>
      <c r="B85" s="0" t="str">
        <f aca="false">'Schedule Engine'!E84</f>
        <v>HVAC Finish</v>
      </c>
      <c r="C85" s="0" t="str">
        <f aca="false">'Schedule Engine'!F84</f>
        <v>Adco</v>
      </c>
      <c r="D85" s="0" t="n">
        <f aca="false">'Schedule Engine'!G84</f>
        <v>0</v>
      </c>
      <c r="E85" s="34" t="n">
        <f aca="false">'Schedule Engine'!N84</f>
        <v>46304</v>
      </c>
      <c r="F85" s="34" t="n">
        <f aca="false">'Schedule Engine'!O84</f>
        <v>46307</v>
      </c>
      <c r="G85" s="0" t="n">
        <f aca="false">'Schedule Engine'!K84</f>
        <v>2</v>
      </c>
      <c r="H85" s="0" t="n">
        <f aca="false">'Schedule Engine'!P84</f>
        <v>0</v>
      </c>
      <c r="L85" s="51"/>
      <c r="M85" s="51"/>
      <c r="S85" s="51"/>
      <c r="T85" s="51"/>
      <c r="Z85" s="51"/>
      <c r="AA85" s="51"/>
      <c r="AG85" s="51"/>
      <c r="AH85" s="51"/>
      <c r="AN85" s="51"/>
      <c r="AO85" s="51"/>
      <c r="AU85" s="51"/>
      <c r="AV85" s="51"/>
      <c r="BB85" s="51"/>
      <c r="BC85" s="51"/>
      <c r="BI85" s="51"/>
      <c r="BJ85" s="51"/>
      <c r="BP85" s="51"/>
      <c r="BQ85" s="51"/>
      <c r="BW85" s="51"/>
      <c r="BX85" s="51"/>
      <c r="CD85" s="51"/>
      <c r="CE85" s="51"/>
      <c r="CK85" s="51"/>
      <c r="CL85" s="51"/>
      <c r="CR85" s="51"/>
      <c r="CS85" s="51"/>
      <c r="CY85" s="51"/>
      <c r="CZ85" s="51"/>
      <c r="DF85" s="51"/>
      <c r="DG85" s="51"/>
      <c r="DM85" s="51"/>
      <c r="DN85" s="51"/>
      <c r="DT85" s="51"/>
      <c r="DU85" s="51"/>
      <c r="EA85" s="51"/>
      <c r="EB85" s="51"/>
      <c r="EH85" s="51"/>
      <c r="EI85" s="51"/>
      <c r="EO85" s="51"/>
      <c r="EP85" s="51"/>
      <c r="EV85" s="51"/>
      <c r="EW85" s="51"/>
      <c r="FC85" s="51"/>
      <c r="FD85" s="51"/>
      <c r="FJ85" s="51"/>
      <c r="FK85" s="51"/>
      <c r="FQ85" s="51"/>
      <c r="FR85" s="51"/>
      <c r="FX85" s="51"/>
      <c r="FY85" s="51"/>
      <c r="GE85" s="51"/>
      <c r="GF85" s="51"/>
      <c r="GL85" s="51"/>
      <c r="GM85" s="51"/>
      <c r="GS85" s="51"/>
      <c r="GT85" s="51"/>
      <c r="GZ85" s="51"/>
      <c r="HA85" s="51"/>
      <c r="HG85" s="51"/>
      <c r="HH85" s="51"/>
      <c r="HN85" s="51"/>
      <c r="HO85" s="51"/>
    </row>
    <row r="86" customFormat="false" ht="15" hidden="false" customHeight="false" outlineLevel="0" collapsed="false">
      <c r="A86" s="0" t="str">
        <f aca="false">'Schedule Engine'!B85</f>
        <v>IW11</v>
      </c>
      <c r="B86" s="0" t="str">
        <f aca="false">'Schedule Engine'!E85</f>
        <v>Plumbing Finish</v>
      </c>
      <c r="C86" s="0" t="str">
        <f aca="false">'Schedule Engine'!F85</f>
        <v>Hays</v>
      </c>
      <c r="D86" s="0" t="str">
        <f aca="false">'Schedule Engine'!G85</f>
        <v>Hays</v>
      </c>
      <c r="E86" s="34" t="n">
        <f aca="false">'Schedule Engine'!N85</f>
        <v>46290</v>
      </c>
      <c r="F86" s="34" t="n">
        <f aca="false">'Schedule Engine'!O85</f>
        <v>46293</v>
      </c>
      <c r="G86" s="0" t="n">
        <f aca="false">'Schedule Engine'!K85</f>
        <v>2</v>
      </c>
      <c r="H86" s="0" t="n">
        <f aca="false">'Schedule Engine'!P85</f>
        <v>0</v>
      </c>
      <c r="L86" s="51"/>
      <c r="M86" s="51"/>
      <c r="S86" s="51"/>
      <c r="T86" s="51"/>
      <c r="Z86" s="51"/>
      <c r="AA86" s="51"/>
      <c r="AG86" s="51"/>
      <c r="AH86" s="51"/>
      <c r="AN86" s="51"/>
      <c r="AO86" s="51"/>
      <c r="AU86" s="51"/>
      <c r="AV86" s="51"/>
      <c r="BB86" s="51"/>
      <c r="BC86" s="51"/>
      <c r="BI86" s="51"/>
      <c r="BJ86" s="51"/>
      <c r="BP86" s="51"/>
      <c r="BQ86" s="51"/>
      <c r="BW86" s="51"/>
      <c r="BX86" s="51"/>
      <c r="CD86" s="51"/>
      <c r="CE86" s="51"/>
      <c r="CK86" s="51"/>
      <c r="CL86" s="51"/>
      <c r="CR86" s="51"/>
      <c r="CS86" s="51"/>
      <c r="CY86" s="51"/>
      <c r="CZ86" s="51"/>
      <c r="DF86" s="51"/>
      <c r="DG86" s="51"/>
      <c r="DM86" s="51"/>
      <c r="DN86" s="51"/>
      <c r="DT86" s="51"/>
      <c r="DU86" s="51"/>
      <c r="EA86" s="51"/>
      <c r="EB86" s="51"/>
      <c r="EH86" s="51"/>
      <c r="EI86" s="51"/>
      <c r="EO86" s="51"/>
      <c r="EP86" s="51"/>
      <c r="EV86" s="51"/>
      <c r="EW86" s="51"/>
      <c r="FC86" s="51"/>
      <c r="FD86" s="51"/>
      <c r="FJ86" s="51"/>
      <c r="FK86" s="51"/>
      <c r="FQ86" s="51"/>
      <c r="FR86" s="51"/>
      <c r="FX86" s="51"/>
      <c r="FY86" s="51"/>
      <c r="GE86" s="51"/>
      <c r="GF86" s="51"/>
      <c r="GL86" s="51"/>
      <c r="GM86" s="51"/>
      <c r="GS86" s="51"/>
      <c r="GT86" s="51"/>
      <c r="GZ86" s="51"/>
      <c r="HA86" s="51"/>
      <c r="HG86" s="51"/>
      <c r="HH86" s="51"/>
      <c r="HN86" s="51"/>
      <c r="HO86" s="51"/>
    </row>
    <row r="87" customFormat="false" ht="15" hidden="false" customHeight="false" outlineLevel="0" collapsed="false">
      <c r="A87" s="0" t="str">
        <f aca="false">'Schedule Engine'!B86</f>
        <v>IW11</v>
      </c>
      <c r="B87" s="0" t="str">
        <f aca="false">'Schedule Engine'!E86</f>
        <v>Electrical Finish</v>
      </c>
      <c r="C87" s="0" t="str">
        <f aca="false">'Schedule Engine'!F86</f>
        <v>Dave Kaler</v>
      </c>
      <c r="D87" s="0" t="n">
        <f aca="false">'Schedule Engine'!G86</f>
        <v>0</v>
      </c>
      <c r="E87" s="34" t="n">
        <f aca="false">'Schedule Engine'!N86</f>
        <v>46304</v>
      </c>
      <c r="F87" s="34" t="n">
        <f aca="false">'Schedule Engine'!O86</f>
        <v>46309</v>
      </c>
      <c r="G87" s="0" t="n">
        <f aca="false">'Schedule Engine'!K86</f>
        <v>4</v>
      </c>
      <c r="H87" s="0" t="n">
        <f aca="false">'Schedule Engine'!P86</f>
        <v>0</v>
      </c>
      <c r="L87" s="51"/>
      <c r="M87" s="51"/>
      <c r="S87" s="51"/>
      <c r="T87" s="51"/>
      <c r="Z87" s="51"/>
      <c r="AA87" s="51"/>
      <c r="AG87" s="51"/>
      <c r="AH87" s="51"/>
      <c r="AN87" s="51"/>
      <c r="AO87" s="51"/>
      <c r="AU87" s="51"/>
      <c r="AV87" s="51"/>
      <c r="BB87" s="51"/>
      <c r="BC87" s="51"/>
      <c r="BI87" s="51"/>
      <c r="BJ87" s="51"/>
      <c r="BP87" s="51"/>
      <c r="BQ87" s="51"/>
      <c r="BW87" s="51"/>
      <c r="BX87" s="51"/>
      <c r="CD87" s="51"/>
      <c r="CE87" s="51"/>
      <c r="CK87" s="51"/>
      <c r="CL87" s="51"/>
      <c r="CR87" s="51"/>
      <c r="CS87" s="51"/>
      <c r="CY87" s="51"/>
      <c r="CZ87" s="51"/>
      <c r="DF87" s="51"/>
      <c r="DG87" s="51"/>
      <c r="DM87" s="51"/>
      <c r="DN87" s="51"/>
      <c r="DT87" s="51"/>
      <c r="DU87" s="51"/>
      <c r="EA87" s="51"/>
      <c r="EB87" s="51"/>
      <c r="EH87" s="51"/>
      <c r="EI87" s="51"/>
      <c r="EO87" s="51"/>
      <c r="EP87" s="51"/>
      <c r="EV87" s="51"/>
      <c r="EW87" s="51"/>
      <c r="FC87" s="51"/>
      <c r="FD87" s="51"/>
      <c r="FJ87" s="51"/>
      <c r="FK87" s="51"/>
      <c r="FQ87" s="51"/>
      <c r="FR87" s="51"/>
      <c r="FX87" s="51"/>
      <c r="FY87" s="51"/>
      <c r="GE87" s="51"/>
      <c r="GF87" s="51"/>
      <c r="GL87" s="51"/>
      <c r="GM87" s="51"/>
      <c r="GS87" s="51"/>
      <c r="GT87" s="51"/>
      <c r="GZ87" s="51"/>
      <c r="HA87" s="51"/>
      <c r="HG87" s="51"/>
      <c r="HH87" s="51"/>
      <c r="HN87" s="51"/>
      <c r="HO87" s="51"/>
    </row>
    <row r="88" customFormat="false" ht="15" hidden="false" customHeight="false" outlineLevel="0" collapsed="false">
      <c r="A88" s="0" t="str">
        <f aca="false">'Schedule Engine'!B87</f>
        <v>IW11</v>
      </c>
      <c r="B88" s="0" t="str">
        <f aca="false">'Schedule Engine'!E87</f>
        <v>Insulation Ceiling</v>
      </c>
      <c r="C88" s="0" t="str">
        <f aca="false">'Schedule Engine'!F87</f>
        <v>Tyler Champion</v>
      </c>
      <c r="D88" s="0" t="n">
        <f aca="false">'Schedule Engine'!G87</f>
        <v>0</v>
      </c>
      <c r="E88" s="34" t="n">
        <f aca="false">'Schedule Engine'!N87</f>
        <v>46310</v>
      </c>
      <c r="F88" s="34" t="n">
        <f aca="false">'Schedule Engine'!O87</f>
        <v>46311</v>
      </c>
      <c r="G88" s="0" t="n">
        <f aca="false">'Schedule Engine'!K87</f>
        <v>2</v>
      </c>
      <c r="H88" s="0" t="n">
        <f aca="false">'Schedule Engine'!P87</f>
        <v>0</v>
      </c>
      <c r="L88" s="51"/>
      <c r="M88" s="51"/>
      <c r="S88" s="51"/>
      <c r="T88" s="51"/>
      <c r="Z88" s="51"/>
      <c r="AA88" s="51"/>
      <c r="AG88" s="51"/>
      <c r="AH88" s="51"/>
      <c r="AN88" s="51"/>
      <c r="AO88" s="51"/>
      <c r="AU88" s="51"/>
      <c r="AV88" s="51"/>
      <c r="BB88" s="51"/>
      <c r="BC88" s="51"/>
      <c r="BI88" s="51"/>
      <c r="BJ88" s="51"/>
      <c r="BP88" s="51"/>
      <c r="BQ88" s="51"/>
      <c r="BW88" s="51"/>
      <c r="BX88" s="51"/>
      <c r="CD88" s="51"/>
      <c r="CE88" s="51"/>
      <c r="CK88" s="51"/>
      <c r="CL88" s="51"/>
      <c r="CR88" s="51"/>
      <c r="CS88" s="51"/>
      <c r="CY88" s="51"/>
      <c r="CZ88" s="51"/>
      <c r="DF88" s="51"/>
      <c r="DG88" s="51"/>
      <c r="DM88" s="51"/>
      <c r="DN88" s="51"/>
      <c r="DT88" s="51"/>
      <c r="DU88" s="51"/>
      <c r="EA88" s="51"/>
      <c r="EB88" s="51"/>
      <c r="EH88" s="51"/>
      <c r="EI88" s="51"/>
      <c r="EO88" s="51"/>
      <c r="EP88" s="51"/>
      <c r="EV88" s="51"/>
      <c r="EW88" s="51"/>
      <c r="FC88" s="51"/>
      <c r="FD88" s="51"/>
      <c r="FJ88" s="51"/>
      <c r="FK88" s="51"/>
      <c r="FQ88" s="51"/>
      <c r="FR88" s="51"/>
      <c r="FX88" s="51"/>
      <c r="FY88" s="51"/>
      <c r="GE88" s="51"/>
      <c r="GF88" s="51"/>
      <c r="GL88" s="51"/>
      <c r="GM88" s="51"/>
      <c r="GS88" s="51"/>
      <c r="GT88" s="51"/>
      <c r="GZ88" s="51"/>
      <c r="HA88" s="51"/>
      <c r="HG88" s="51"/>
      <c r="HH88" s="51"/>
      <c r="HN88" s="51"/>
      <c r="HO88" s="51"/>
    </row>
    <row r="89" customFormat="false" ht="15" hidden="false" customHeight="false" outlineLevel="0" collapsed="false">
      <c r="A89" s="0" t="str">
        <f aca="false">'Schedule Engine'!B88</f>
        <v>IW11</v>
      </c>
      <c r="B89" s="0" t="str">
        <f aca="false">'Schedule Engine'!E88</f>
        <v>Painting Finish</v>
      </c>
      <c r="C89" s="0" t="str">
        <f aca="false">'Schedule Engine'!F88</f>
        <v>L&amp;L Painting</v>
      </c>
      <c r="D89" s="0" t="n">
        <f aca="false">'Schedule Engine'!G88</f>
        <v>0</v>
      </c>
      <c r="E89" s="34" t="n">
        <f aca="false">'Schedule Engine'!N88</f>
        <v>46310</v>
      </c>
      <c r="F89" s="34" t="n">
        <f aca="false">'Schedule Engine'!O88</f>
        <v>46316</v>
      </c>
      <c r="G89" s="0" t="n">
        <f aca="false">'Schedule Engine'!K88</f>
        <v>5</v>
      </c>
      <c r="H89" s="0" t="n">
        <f aca="false">'Schedule Engine'!P88</f>
        <v>0</v>
      </c>
      <c r="L89" s="51"/>
      <c r="M89" s="51"/>
      <c r="S89" s="51"/>
      <c r="T89" s="51"/>
      <c r="Z89" s="51"/>
      <c r="AA89" s="51"/>
      <c r="AG89" s="51"/>
      <c r="AH89" s="51"/>
      <c r="AN89" s="51"/>
      <c r="AO89" s="51"/>
      <c r="AU89" s="51"/>
      <c r="AV89" s="51"/>
      <c r="BB89" s="51"/>
      <c r="BC89" s="51"/>
      <c r="BI89" s="51"/>
      <c r="BJ89" s="51"/>
      <c r="BP89" s="51"/>
      <c r="BQ89" s="51"/>
      <c r="BW89" s="51"/>
      <c r="BX89" s="51"/>
      <c r="CD89" s="51"/>
      <c r="CE89" s="51"/>
      <c r="CK89" s="51"/>
      <c r="CL89" s="51"/>
      <c r="CR89" s="51"/>
      <c r="CS89" s="51"/>
      <c r="CY89" s="51"/>
      <c r="CZ89" s="51"/>
      <c r="DF89" s="51"/>
      <c r="DG89" s="51"/>
      <c r="DM89" s="51"/>
      <c r="DN89" s="51"/>
      <c r="DT89" s="51"/>
      <c r="DU89" s="51"/>
      <c r="EA89" s="51"/>
      <c r="EB89" s="51"/>
      <c r="EH89" s="51"/>
      <c r="EI89" s="51"/>
      <c r="EO89" s="51"/>
      <c r="EP89" s="51"/>
      <c r="EV89" s="51"/>
      <c r="EW89" s="51"/>
      <c r="FC89" s="51"/>
      <c r="FD89" s="51"/>
      <c r="FJ89" s="51"/>
      <c r="FK89" s="51"/>
      <c r="FQ89" s="51"/>
      <c r="FR89" s="51"/>
      <c r="FX89" s="51"/>
      <c r="FY89" s="51"/>
      <c r="GE89" s="51"/>
      <c r="GF89" s="51"/>
      <c r="GL89" s="51"/>
      <c r="GM89" s="51"/>
      <c r="GS89" s="51"/>
      <c r="GT89" s="51"/>
      <c r="GZ89" s="51"/>
      <c r="HA89" s="51"/>
      <c r="HG89" s="51"/>
      <c r="HH89" s="51"/>
      <c r="HN89" s="51"/>
      <c r="HO89" s="51"/>
    </row>
    <row r="90" customFormat="false" ht="15" hidden="false" customHeight="false" outlineLevel="0" collapsed="false">
      <c r="A90" s="0" t="str">
        <f aca="false">'Schedule Engine'!B89</f>
        <v>IW11</v>
      </c>
      <c r="B90" s="0" t="str">
        <f aca="false">'Schedule Engine'!E89</f>
        <v>Cleaning</v>
      </c>
      <c r="C90" s="0" t="str">
        <f aca="false">'Schedule Engine'!F89</f>
        <v>Angies Cleaning</v>
      </c>
      <c r="D90" s="0" t="n">
        <f aca="false">'Schedule Engine'!G89</f>
        <v>0</v>
      </c>
      <c r="E90" s="34" t="n">
        <f aca="false">'Schedule Engine'!N89</f>
        <v>46317</v>
      </c>
      <c r="F90" s="34" t="n">
        <f aca="false">'Schedule Engine'!O89</f>
        <v>46321</v>
      </c>
      <c r="G90" s="0" t="n">
        <f aca="false">'Schedule Engine'!K89</f>
        <v>3</v>
      </c>
      <c r="H90" s="0" t="n">
        <f aca="false">'Schedule Engine'!P89</f>
        <v>0</v>
      </c>
      <c r="L90" s="51"/>
      <c r="M90" s="51"/>
      <c r="S90" s="51"/>
      <c r="T90" s="51"/>
      <c r="Z90" s="51"/>
      <c r="AA90" s="51"/>
      <c r="AG90" s="51"/>
      <c r="AH90" s="51"/>
      <c r="AN90" s="51"/>
      <c r="AO90" s="51"/>
      <c r="AU90" s="51"/>
      <c r="AV90" s="51"/>
      <c r="BB90" s="51"/>
      <c r="BC90" s="51"/>
      <c r="BI90" s="51"/>
      <c r="BJ90" s="51"/>
      <c r="BP90" s="51"/>
      <c r="BQ90" s="51"/>
      <c r="BW90" s="51"/>
      <c r="BX90" s="51"/>
      <c r="CD90" s="51"/>
      <c r="CE90" s="51"/>
      <c r="CK90" s="51"/>
      <c r="CL90" s="51"/>
      <c r="CR90" s="51"/>
      <c r="CS90" s="51"/>
      <c r="CY90" s="51"/>
      <c r="CZ90" s="51"/>
      <c r="DF90" s="51"/>
      <c r="DG90" s="51"/>
      <c r="DM90" s="51"/>
      <c r="DN90" s="51"/>
      <c r="DT90" s="51"/>
      <c r="DU90" s="51"/>
      <c r="EA90" s="51"/>
      <c r="EB90" s="51"/>
      <c r="EH90" s="51"/>
      <c r="EI90" s="51"/>
      <c r="EO90" s="51"/>
      <c r="EP90" s="51"/>
      <c r="EV90" s="51"/>
      <c r="EW90" s="51"/>
      <c r="FC90" s="51"/>
      <c r="FD90" s="51"/>
      <c r="FJ90" s="51"/>
      <c r="FK90" s="51"/>
      <c r="FQ90" s="51"/>
      <c r="FR90" s="51"/>
      <c r="FX90" s="51"/>
      <c r="FY90" s="51"/>
      <c r="GE90" s="51"/>
      <c r="GF90" s="51"/>
      <c r="GL90" s="51"/>
      <c r="GM90" s="51"/>
      <c r="GS90" s="51"/>
      <c r="GT90" s="51"/>
      <c r="GZ90" s="51"/>
      <c r="HA90" s="51"/>
      <c r="HG90" s="51"/>
      <c r="HH90" s="51"/>
      <c r="HN90" s="51"/>
      <c r="HO90" s="51"/>
    </row>
    <row r="91" customFormat="false" ht="15" hidden="false" customHeight="false" outlineLevel="0" collapsed="false">
      <c r="A91" s="0" t="str">
        <f aca="false">'Schedule Engine'!B90</f>
        <v>IW12</v>
      </c>
      <c r="B91" s="0" t="str">
        <f aca="false">'Schedule Engine'!E90</f>
        <v>Estimate</v>
      </c>
      <c r="C91" s="0" t="str">
        <f aca="false">'Schedule Engine'!F90</f>
        <v>Willett &amp; Assoc.</v>
      </c>
      <c r="D91" s="0" t="n">
        <f aca="false">'Schedule Engine'!G90</f>
        <v>0</v>
      </c>
      <c r="E91" s="34" t="n">
        <f aca="false">'Schedule Engine'!N90</f>
        <v>46155</v>
      </c>
      <c r="F91" s="34" t="n">
        <f aca="false">'Schedule Engine'!O90</f>
        <v>46168</v>
      </c>
      <c r="G91" s="0" t="n">
        <f aca="false">'Schedule Engine'!K90</f>
        <v>10</v>
      </c>
      <c r="H91" s="0" t="n">
        <f aca="false">'Schedule Engine'!P90</f>
        <v>0</v>
      </c>
      <c r="L91" s="51"/>
      <c r="M91" s="51"/>
      <c r="S91" s="51"/>
      <c r="T91" s="51"/>
      <c r="Z91" s="51"/>
      <c r="AA91" s="51"/>
      <c r="AG91" s="51"/>
      <c r="AH91" s="51"/>
      <c r="AN91" s="51"/>
      <c r="AO91" s="51"/>
      <c r="AU91" s="51"/>
      <c r="AV91" s="51"/>
      <c r="BB91" s="51"/>
      <c r="BC91" s="51"/>
      <c r="BI91" s="51"/>
      <c r="BJ91" s="51"/>
      <c r="BP91" s="51"/>
      <c r="BQ91" s="51"/>
      <c r="BW91" s="51"/>
      <c r="BX91" s="51"/>
      <c r="CD91" s="51"/>
      <c r="CE91" s="51"/>
      <c r="CK91" s="51"/>
      <c r="CL91" s="51"/>
      <c r="CR91" s="51"/>
      <c r="CS91" s="51"/>
      <c r="CY91" s="51"/>
      <c r="CZ91" s="51"/>
      <c r="DF91" s="51"/>
      <c r="DG91" s="51"/>
      <c r="DM91" s="51"/>
      <c r="DN91" s="51"/>
      <c r="DT91" s="51"/>
      <c r="DU91" s="51"/>
      <c r="EA91" s="51"/>
      <c r="EB91" s="51"/>
      <c r="EH91" s="51"/>
      <c r="EI91" s="51"/>
      <c r="EO91" s="51"/>
      <c r="EP91" s="51"/>
      <c r="EV91" s="51"/>
      <c r="EW91" s="51"/>
      <c r="FC91" s="51"/>
      <c r="FD91" s="51"/>
      <c r="FJ91" s="51"/>
      <c r="FK91" s="51"/>
      <c r="FQ91" s="51"/>
      <c r="FR91" s="51"/>
      <c r="FX91" s="51"/>
      <c r="FY91" s="51"/>
      <c r="GE91" s="51"/>
      <c r="GF91" s="51"/>
      <c r="GL91" s="51"/>
      <c r="GM91" s="51"/>
      <c r="GS91" s="51"/>
      <c r="GT91" s="51"/>
      <c r="GZ91" s="51"/>
      <c r="HA91" s="51"/>
      <c r="HG91" s="51"/>
      <c r="HH91" s="51"/>
      <c r="HN91" s="51"/>
      <c r="HO91" s="51"/>
    </row>
    <row r="92" customFormat="false" ht="15" hidden="false" customHeight="false" outlineLevel="0" collapsed="false">
      <c r="A92" s="0" t="str">
        <f aca="false">'Schedule Engine'!B91</f>
        <v>IW12</v>
      </c>
      <c r="B92" s="0" t="str">
        <f aca="false">'Schedule Engine'!E91</f>
        <v>Clearing</v>
      </c>
      <c r="C92" s="0" t="str">
        <f aca="false">'Schedule Engine'!F91</f>
        <v>Willett &amp; Assoc.</v>
      </c>
      <c r="D92" s="0" t="n">
        <f aca="false">'Schedule Engine'!G91</f>
        <v>0</v>
      </c>
      <c r="E92" s="34" t="n">
        <f aca="false">'Schedule Engine'!N91</f>
        <v>46169</v>
      </c>
      <c r="F92" s="34" t="n">
        <f aca="false">'Schedule Engine'!O91</f>
        <v>46171</v>
      </c>
      <c r="G92" s="0" t="n">
        <f aca="false">'Schedule Engine'!K91</f>
        <v>3</v>
      </c>
      <c r="H92" s="0" t="n">
        <f aca="false">'Schedule Engine'!P91</f>
        <v>0</v>
      </c>
      <c r="L92" s="51"/>
      <c r="M92" s="51"/>
      <c r="S92" s="51"/>
      <c r="T92" s="51"/>
      <c r="Z92" s="51"/>
      <c r="AA92" s="51"/>
      <c r="AG92" s="51"/>
      <c r="AH92" s="51"/>
      <c r="AN92" s="51"/>
      <c r="AO92" s="51"/>
      <c r="AU92" s="51"/>
      <c r="AV92" s="51"/>
      <c r="BB92" s="51"/>
      <c r="BC92" s="51"/>
      <c r="BI92" s="51"/>
      <c r="BJ92" s="51"/>
      <c r="BP92" s="51"/>
      <c r="BQ92" s="51"/>
      <c r="BW92" s="51"/>
      <c r="BX92" s="51"/>
      <c r="CD92" s="51"/>
      <c r="CE92" s="51"/>
      <c r="CK92" s="51"/>
      <c r="CL92" s="51"/>
      <c r="CR92" s="51"/>
      <c r="CS92" s="51"/>
      <c r="CY92" s="51"/>
      <c r="CZ92" s="51"/>
      <c r="DF92" s="51"/>
      <c r="DG92" s="51"/>
      <c r="DM92" s="51"/>
      <c r="DN92" s="51"/>
      <c r="DT92" s="51"/>
      <c r="DU92" s="51"/>
      <c r="EA92" s="51"/>
      <c r="EB92" s="51"/>
      <c r="EH92" s="51"/>
      <c r="EI92" s="51"/>
      <c r="EO92" s="51"/>
      <c r="EP92" s="51"/>
      <c r="EV92" s="51"/>
      <c r="EW92" s="51"/>
      <c r="FC92" s="51"/>
      <c r="FD92" s="51"/>
      <c r="FJ92" s="51"/>
      <c r="FK92" s="51"/>
      <c r="FQ92" s="51"/>
      <c r="FR92" s="51"/>
      <c r="FX92" s="51"/>
      <c r="FY92" s="51"/>
      <c r="GE92" s="51"/>
      <c r="GF92" s="51"/>
      <c r="GL92" s="51"/>
      <c r="GM92" s="51"/>
      <c r="GS92" s="51"/>
      <c r="GT92" s="51"/>
      <c r="GZ92" s="51"/>
      <c r="HA92" s="51"/>
      <c r="HG92" s="51"/>
      <c r="HH92" s="51"/>
      <c r="HN92" s="51"/>
      <c r="HO92" s="51"/>
    </row>
    <row r="93" customFormat="false" ht="15" hidden="false" customHeight="false" outlineLevel="0" collapsed="false">
      <c r="A93" s="0" t="str">
        <f aca="false">'Schedule Engine'!B92</f>
        <v>IW12</v>
      </c>
      <c r="B93" s="0" t="str">
        <f aca="false">'Schedule Engine'!E92</f>
        <v>Site Prep</v>
      </c>
      <c r="C93" s="0" t="str">
        <f aca="false">'Schedule Engine'!F92</f>
        <v>Willett &amp; Assoc.</v>
      </c>
      <c r="D93" s="0" t="n">
        <f aca="false">'Schedule Engine'!G92</f>
        <v>0</v>
      </c>
      <c r="E93" s="34" t="n">
        <f aca="false">'Schedule Engine'!N92</f>
        <v>46174</v>
      </c>
      <c r="F93" s="34" t="n">
        <f aca="false">'Schedule Engine'!O92</f>
        <v>46175</v>
      </c>
      <c r="G93" s="0" t="n">
        <f aca="false">'Schedule Engine'!K92</f>
        <v>2</v>
      </c>
      <c r="H93" s="0" t="n">
        <f aca="false">'Schedule Engine'!P92</f>
        <v>0</v>
      </c>
      <c r="L93" s="51"/>
      <c r="M93" s="51"/>
      <c r="S93" s="51"/>
      <c r="T93" s="51"/>
      <c r="Z93" s="51"/>
      <c r="AA93" s="51"/>
      <c r="AG93" s="51"/>
      <c r="AH93" s="51"/>
      <c r="AN93" s="51"/>
      <c r="AO93" s="51"/>
      <c r="AU93" s="51"/>
      <c r="AV93" s="51"/>
      <c r="BB93" s="51"/>
      <c r="BC93" s="51"/>
      <c r="BI93" s="51"/>
      <c r="BJ93" s="51"/>
      <c r="BP93" s="51"/>
      <c r="BQ93" s="51"/>
      <c r="BW93" s="51"/>
      <c r="BX93" s="51"/>
      <c r="CD93" s="51"/>
      <c r="CE93" s="51"/>
      <c r="CK93" s="51"/>
      <c r="CL93" s="51"/>
      <c r="CR93" s="51"/>
      <c r="CS93" s="51"/>
      <c r="CY93" s="51"/>
      <c r="CZ93" s="51"/>
      <c r="DF93" s="51"/>
      <c r="DG93" s="51"/>
      <c r="DM93" s="51"/>
      <c r="DN93" s="51"/>
      <c r="DT93" s="51"/>
      <c r="DU93" s="51"/>
      <c r="EA93" s="51"/>
      <c r="EB93" s="51"/>
      <c r="EH93" s="51"/>
      <c r="EI93" s="51"/>
      <c r="EO93" s="51"/>
      <c r="EP93" s="51"/>
      <c r="EV93" s="51"/>
      <c r="EW93" s="51"/>
      <c r="FC93" s="51"/>
      <c r="FD93" s="51"/>
      <c r="FJ93" s="51"/>
      <c r="FK93" s="51"/>
      <c r="FQ93" s="51"/>
      <c r="FR93" s="51"/>
      <c r="FX93" s="51"/>
      <c r="FY93" s="51"/>
      <c r="GE93" s="51"/>
      <c r="GF93" s="51"/>
      <c r="GL93" s="51"/>
      <c r="GM93" s="51"/>
      <c r="GS93" s="51"/>
      <c r="GT93" s="51"/>
      <c r="GZ93" s="51"/>
      <c r="HA93" s="51"/>
      <c r="HG93" s="51"/>
      <c r="HH93" s="51"/>
      <c r="HN93" s="51"/>
      <c r="HO93" s="51"/>
    </row>
    <row r="94" customFormat="false" ht="15" hidden="false" customHeight="false" outlineLevel="0" collapsed="false">
      <c r="A94" s="0" t="str">
        <f aca="false">'Schedule Engine'!B93</f>
        <v>IW12</v>
      </c>
      <c r="B94" s="0" t="str">
        <f aca="false">'Schedule Engine'!E93</f>
        <v>Footer</v>
      </c>
      <c r="C94" s="0" t="str">
        <f aca="false">'Schedule Engine'!F93</f>
        <v>3C Concrete</v>
      </c>
      <c r="D94" s="0" t="str">
        <f aca="false">'Schedule Engine'!G93</f>
        <v>3C Concrete</v>
      </c>
      <c r="E94" s="34" t="n">
        <f aca="false">'Schedule Engine'!N93</f>
        <v>46176</v>
      </c>
      <c r="F94" s="34" t="n">
        <f aca="false">'Schedule Engine'!O93</f>
        <v>46181</v>
      </c>
      <c r="G94" s="0" t="n">
        <f aca="false">'Schedule Engine'!K93</f>
        <v>4</v>
      </c>
      <c r="H94" s="0" t="n">
        <f aca="false">'Schedule Engine'!P93</f>
        <v>0</v>
      </c>
      <c r="L94" s="51"/>
      <c r="M94" s="51"/>
      <c r="S94" s="51"/>
      <c r="T94" s="51"/>
      <c r="Z94" s="51"/>
      <c r="AA94" s="51"/>
      <c r="AG94" s="51"/>
      <c r="AH94" s="51"/>
      <c r="AN94" s="51"/>
      <c r="AO94" s="51"/>
      <c r="AU94" s="51"/>
      <c r="AV94" s="51"/>
      <c r="BB94" s="51"/>
      <c r="BC94" s="51"/>
      <c r="BI94" s="51"/>
      <c r="BJ94" s="51"/>
      <c r="BP94" s="51"/>
      <c r="BQ94" s="51"/>
      <c r="BW94" s="51"/>
      <c r="BX94" s="51"/>
      <c r="CD94" s="51"/>
      <c r="CE94" s="51"/>
      <c r="CK94" s="51"/>
      <c r="CL94" s="51"/>
      <c r="CR94" s="51"/>
      <c r="CS94" s="51"/>
      <c r="CY94" s="51"/>
      <c r="CZ94" s="51"/>
      <c r="DF94" s="51"/>
      <c r="DG94" s="51"/>
      <c r="DM94" s="51"/>
      <c r="DN94" s="51"/>
      <c r="DT94" s="51"/>
      <c r="DU94" s="51"/>
      <c r="EA94" s="51"/>
      <c r="EB94" s="51"/>
      <c r="EH94" s="51"/>
      <c r="EI94" s="51"/>
      <c r="EO94" s="51"/>
      <c r="EP94" s="51"/>
      <c r="EV94" s="51"/>
      <c r="EW94" s="51"/>
      <c r="FC94" s="51"/>
      <c r="FD94" s="51"/>
      <c r="FJ94" s="51"/>
      <c r="FK94" s="51"/>
      <c r="FQ94" s="51"/>
      <c r="FR94" s="51"/>
      <c r="FX94" s="51"/>
      <c r="FY94" s="51"/>
      <c r="GE94" s="51"/>
      <c r="GF94" s="51"/>
      <c r="GL94" s="51"/>
      <c r="GM94" s="51"/>
      <c r="GS94" s="51"/>
      <c r="GT94" s="51"/>
      <c r="GZ94" s="51"/>
      <c r="HA94" s="51"/>
      <c r="HG94" s="51"/>
      <c r="HH94" s="51"/>
      <c r="HN94" s="51"/>
      <c r="HO94" s="51"/>
    </row>
    <row r="95" customFormat="false" ht="15" hidden="false" customHeight="false" outlineLevel="0" collapsed="false">
      <c r="A95" s="0" t="str">
        <f aca="false">'Schedule Engine'!B94</f>
        <v>IW12</v>
      </c>
      <c r="B95" s="0" t="str">
        <f aca="false">'Schedule Engine'!E94</f>
        <v>Block</v>
      </c>
      <c r="C95" s="0" t="str">
        <f aca="false">'Schedule Engine'!F94</f>
        <v>Julio H</v>
      </c>
      <c r="D95" s="0" t="n">
        <f aca="false">'Schedule Engine'!G94</f>
        <v>0</v>
      </c>
      <c r="E95" s="34" t="n">
        <f aca="false">'Schedule Engine'!N94</f>
        <v>46182</v>
      </c>
      <c r="F95" s="34" t="n">
        <f aca="false">'Schedule Engine'!O94</f>
        <v>46195</v>
      </c>
      <c r="G95" s="0" t="n">
        <f aca="false">'Schedule Engine'!K94</f>
        <v>10</v>
      </c>
      <c r="H95" s="0" t="n">
        <f aca="false">'Schedule Engine'!P94</f>
        <v>0</v>
      </c>
      <c r="L95" s="51"/>
      <c r="M95" s="51"/>
      <c r="S95" s="51"/>
      <c r="T95" s="51"/>
      <c r="Z95" s="51"/>
      <c r="AA95" s="51"/>
      <c r="AG95" s="51"/>
      <c r="AH95" s="51"/>
      <c r="AN95" s="51"/>
      <c r="AO95" s="51"/>
      <c r="AU95" s="51"/>
      <c r="AV95" s="51"/>
      <c r="BB95" s="51"/>
      <c r="BC95" s="51"/>
      <c r="BI95" s="51"/>
      <c r="BJ95" s="51"/>
      <c r="BP95" s="51"/>
      <c r="BQ95" s="51"/>
      <c r="BW95" s="51"/>
      <c r="BX95" s="51"/>
      <c r="CD95" s="51"/>
      <c r="CE95" s="51"/>
      <c r="CK95" s="51"/>
      <c r="CL95" s="51"/>
      <c r="CR95" s="51"/>
      <c r="CS95" s="51"/>
      <c r="CY95" s="51"/>
      <c r="CZ95" s="51"/>
      <c r="DF95" s="51"/>
      <c r="DG95" s="51"/>
      <c r="DM95" s="51"/>
      <c r="DN95" s="51"/>
      <c r="DT95" s="51"/>
      <c r="DU95" s="51"/>
      <c r="EA95" s="51"/>
      <c r="EB95" s="51"/>
      <c r="EH95" s="51"/>
      <c r="EI95" s="51"/>
      <c r="EO95" s="51"/>
      <c r="EP95" s="51"/>
      <c r="EV95" s="51"/>
      <c r="EW95" s="51"/>
      <c r="FC95" s="51"/>
      <c r="FD95" s="51"/>
      <c r="FJ95" s="51"/>
      <c r="FK95" s="51"/>
      <c r="FQ95" s="51"/>
      <c r="FR95" s="51"/>
      <c r="FX95" s="51"/>
      <c r="FY95" s="51"/>
      <c r="GE95" s="51"/>
      <c r="GF95" s="51"/>
      <c r="GL95" s="51"/>
      <c r="GM95" s="51"/>
      <c r="GS95" s="51"/>
      <c r="GT95" s="51"/>
      <c r="GZ95" s="51"/>
      <c r="HA95" s="51"/>
      <c r="HG95" s="51"/>
      <c r="HH95" s="51"/>
      <c r="HN95" s="51"/>
      <c r="HO95" s="51"/>
    </row>
    <row r="96" customFormat="false" ht="15" hidden="false" customHeight="false" outlineLevel="0" collapsed="false">
      <c r="A96" s="0" t="str">
        <f aca="false">'Schedule Engine'!B95</f>
        <v>IW12</v>
      </c>
      <c r="B96" s="0" t="str">
        <f aca="false">'Schedule Engine'!E95</f>
        <v>French Drain</v>
      </c>
      <c r="C96" s="0" t="str">
        <f aca="false">'Schedule Engine'!F95</f>
        <v>Jacob Hayden</v>
      </c>
      <c r="D96" s="0" t="n">
        <f aca="false">'Schedule Engine'!G95</f>
        <v>0</v>
      </c>
      <c r="E96" s="34" t="n">
        <f aca="false">'Schedule Engine'!N95</f>
        <v>46196</v>
      </c>
      <c r="F96" s="34" t="n">
        <f aca="false">'Schedule Engine'!O95</f>
        <v>46197</v>
      </c>
      <c r="G96" s="0" t="n">
        <f aca="false">'Schedule Engine'!K95</f>
        <v>2</v>
      </c>
      <c r="H96" s="0" t="n">
        <f aca="false">'Schedule Engine'!P95</f>
        <v>0</v>
      </c>
      <c r="L96" s="51"/>
      <c r="M96" s="51"/>
      <c r="S96" s="51"/>
      <c r="T96" s="51"/>
      <c r="Z96" s="51"/>
      <c r="AA96" s="51"/>
      <c r="AG96" s="51"/>
      <c r="AH96" s="51"/>
      <c r="AN96" s="51"/>
      <c r="AO96" s="51"/>
      <c r="AU96" s="51"/>
      <c r="AV96" s="51"/>
      <c r="BB96" s="51"/>
      <c r="BC96" s="51"/>
      <c r="BI96" s="51"/>
      <c r="BJ96" s="51"/>
      <c r="BP96" s="51"/>
      <c r="BQ96" s="51"/>
      <c r="BW96" s="51"/>
      <c r="BX96" s="51"/>
      <c r="CD96" s="51"/>
      <c r="CE96" s="51"/>
      <c r="CK96" s="51"/>
      <c r="CL96" s="51"/>
      <c r="CR96" s="51"/>
      <c r="CS96" s="51"/>
      <c r="CY96" s="51"/>
      <c r="CZ96" s="51"/>
      <c r="DF96" s="51"/>
      <c r="DG96" s="51"/>
      <c r="DM96" s="51"/>
      <c r="DN96" s="51"/>
      <c r="DT96" s="51"/>
      <c r="DU96" s="51"/>
      <c r="EA96" s="51"/>
      <c r="EB96" s="51"/>
      <c r="EH96" s="51"/>
      <c r="EI96" s="51"/>
      <c r="EO96" s="51"/>
      <c r="EP96" s="51"/>
      <c r="EV96" s="51"/>
      <c r="EW96" s="51"/>
      <c r="FC96" s="51"/>
      <c r="FD96" s="51"/>
      <c r="FJ96" s="51"/>
      <c r="FK96" s="51"/>
      <c r="FQ96" s="51"/>
      <c r="FR96" s="51"/>
      <c r="FX96" s="51"/>
      <c r="FY96" s="51"/>
      <c r="GE96" s="51"/>
      <c r="GF96" s="51"/>
      <c r="GL96" s="51"/>
      <c r="GM96" s="51"/>
      <c r="GS96" s="51"/>
      <c r="GT96" s="51"/>
      <c r="GZ96" s="51"/>
      <c r="HA96" s="51"/>
      <c r="HG96" s="51"/>
      <c r="HH96" s="51"/>
      <c r="HN96" s="51"/>
      <c r="HO96" s="51"/>
    </row>
    <row r="97" customFormat="false" ht="15" hidden="false" customHeight="false" outlineLevel="0" collapsed="false">
      <c r="A97" s="0" t="str">
        <f aca="false">'Schedule Engine'!B96</f>
        <v>IW12</v>
      </c>
      <c r="B97" s="0" t="str">
        <f aca="false">'Schedule Engine'!E96</f>
        <v>Insulation Block</v>
      </c>
      <c r="C97" s="0" t="str">
        <f aca="false">'Schedule Engine'!F96</f>
        <v>Tyler Champion</v>
      </c>
      <c r="D97" s="0" t="n">
        <f aca="false">'Schedule Engine'!G96</f>
        <v>0</v>
      </c>
      <c r="E97" s="34" t="n">
        <f aca="false">'Schedule Engine'!N96</f>
        <v>46196</v>
      </c>
      <c r="F97" s="34" t="n">
        <f aca="false">'Schedule Engine'!O96</f>
        <v>46197</v>
      </c>
      <c r="G97" s="0" t="n">
        <f aca="false">'Schedule Engine'!K96</f>
        <v>2</v>
      </c>
      <c r="H97" s="0" t="n">
        <f aca="false">'Schedule Engine'!P96</f>
        <v>0</v>
      </c>
      <c r="L97" s="51"/>
      <c r="M97" s="51"/>
      <c r="S97" s="51"/>
      <c r="T97" s="51"/>
      <c r="Z97" s="51"/>
      <c r="AA97" s="51"/>
      <c r="AG97" s="51"/>
      <c r="AH97" s="51"/>
      <c r="AN97" s="51"/>
      <c r="AO97" s="51"/>
      <c r="AU97" s="51"/>
      <c r="AV97" s="51"/>
      <c r="BB97" s="51"/>
      <c r="BC97" s="51"/>
      <c r="BI97" s="51"/>
      <c r="BJ97" s="51"/>
      <c r="BP97" s="51"/>
      <c r="BQ97" s="51"/>
      <c r="BW97" s="51"/>
      <c r="BX97" s="51"/>
      <c r="CD97" s="51"/>
      <c r="CE97" s="51"/>
      <c r="CK97" s="51"/>
      <c r="CL97" s="51"/>
      <c r="CR97" s="51"/>
      <c r="CS97" s="51"/>
      <c r="CY97" s="51"/>
      <c r="CZ97" s="51"/>
      <c r="DF97" s="51"/>
      <c r="DG97" s="51"/>
      <c r="DM97" s="51"/>
      <c r="DN97" s="51"/>
      <c r="DT97" s="51"/>
      <c r="DU97" s="51"/>
      <c r="EA97" s="51"/>
      <c r="EB97" s="51"/>
      <c r="EH97" s="51"/>
      <c r="EI97" s="51"/>
      <c r="EO97" s="51"/>
      <c r="EP97" s="51"/>
      <c r="EV97" s="51"/>
      <c r="EW97" s="51"/>
      <c r="FC97" s="51"/>
      <c r="FD97" s="51"/>
      <c r="FJ97" s="51"/>
      <c r="FK97" s="51"/>
      <c r="FQ97" s="51"/>
      <c r="FR97" s="51"/>
      <c r="FX97" s="51"/>
      <c r="FY97" s="51"/>
      <c r="GE97" s="51"/>
      <c r="GF97" s="51"/>
      <c r="GL97" s="51"/>
      <c r="GM97" s="51"/>
      <c r="GS97" s="51"/>
      <c r="GT97" s="51"/>
      <c r="GZ97" s="51"/>
      <c r="HA97" s="51"/>
      <c r="HG97" s="51"/>
      <c r="HH97" s="51"/>
      <c r="HN97" s="51"/>
      <c r="HO97" s="51"/>
    </row>
    <row r="98" customFormat="false" ht="15" hidden="false" customHeight="false" outlineLevel="0" collapsed="false">
      <c r="A98" s="0" t="str">
        <f aca="false">'Schedule Engine'!B97</f>
        <v>IW12</v>
      </c>
      <c r="B98" s="0" t="str">
        <f aca="false">'Schedule Engine'!E97</f>
        <v>Rock Work</v>
      </c>
      <c r="C98" s="0" t="n">
        <f aca="false">'Schedule Engine'!F97</f>
        <v>0</v>
      </c>
      <c r="D98" s="0" t="n">
        <f aca="false">'Schedule Engine'!G97</f>
        <v>0</v>
      </c>
      <c r="E98" s="34" t="n">
        <f aca="false">'Schedule Engine'!N97</f>
        <v>46198</v>
      </c>
      <c r="F98" s="34" t="n">
        <f aca="false">'Schedule Engine'!O97</f>
        <v>46199</v>
      </c>
      <c r="G98" s="0" t="n">
        <f aca="false">'Schedule Engine'!K97</f>
        <v>2</v>
      </c>
      <c r="H98" s="0" t="n">
        <f aca="false">'Schedule Engine'!P97</f>
        <v>0</v>
      </c>
      <c r="L98" s="51"/>
      <c r="M98" s="51"/>
      <c r="S98" s="51"/>
      <c r="T98" s="51"/>
      <c r="Z98" s="51"/>
      <c r="AA98" s="51"/>
      <c r="AG98" s="51"/>
      <c r="AH98" s="51"/>
      <c r="AN98" s="51"/>
      <c r="AO98" s="51"/>
      <c r="AU98" s="51"/>
      <c r="AV98" s="51"/>
      <c r="BB98" s="51"/>
      <c r="BC98" s="51"/>
      <c r="BI98" s="51"/>
      <c r="BJ98" s="51"/>
      <c r="BP98" s="51"/>
      <c r="BQ98" s="51"/>
      <c r="BW98" s="51"/>
      <c r="BX98" s="51"/>
      <c r="CD98" s="51"/>
      <c r="CE98" s="51"/>
      <c r="CK98" s="51"/>
      <c r="CL98" s="51"/>
      <c r="CR98" s="51"/>
      <c r="CS98" s="51"/>
      <c r="CY98" s="51"/>
      <c r="CZ98" s="51"/>
      <c r="DF98" s="51"/>
      <c r="DG98" s="51"/>
      <c r="DM98" s="51"/>
      <c r="DN98" s="51"/>
      <c r="DT98" s="51"/>
      <c r="DU98" s="51"/>
      <c r="EA98" s="51"/>
      <c r="EB98" s="51"/>
      <c r="EH98" s="51"/>
      <c r="EI98" s="51"/>
      <c r="EO98" s="51"/>
      <c r="EP98" s="51"/>
      <c r="EV98" s="51"/>
      <c r="EW98" s="51"/>
      <c r="FC98" s="51"/>
      <c r="FD98" s="51"/>
      <c r="FJ98" s="51"/>
      <c r="FK98" s="51"/>
      <c r="FQ98" s="51"/>
      <c r="FR98" s="51"/>
      <c r="FX98" s="51"/>
      <c r="FY98" s="51"/>
      <c r="GE98" s="51"/>
      <c r="GF98" s="51"/>
      <c r="GL98" s="51"/>
      <c r="GM98" s="51"/>
      <c r="GS98" s="51"/>
      <c r="GT98" s="51"/>
      <c r="GZ98" s="51"/>
      <c r="HA98" s="51"/>
      <c r="HG98" s="51"/>
      <c r="HH98" s="51"/>
      <c r="HN98" s="51"/>
      <c r="HO98" s="51"/>
    </row>
    <row r="99" customFormat="false" ht="15" hidden="false" customHeight="false" outlineLevel="0" collapsed="false">
      <c r="A99" s="0" t="str">
        <f aca="false">'Schedule Engine'!B98</f>
        <v>IW12</v>
      </c>
      <c r="B99" s="0" t="str">
        <f aca="false">'Schedule Engine'!E98</f>
        <v>HVAC Pre</v>
      </c>
      <c r="C99" s="0" t="str">
        <f aca="false">'Schedule Engine'!F98</f>
        <v>Adco</v>
      </c>
      <c r="D99" s="0" t="n">
        <f aca="false">'Schedule Engine'!G98</f>
        <v>0</v>
      </c>
      <c r="E99" s="34" t="n">
        <f aca="false">'Schedule Engine'!N98</f>
        <v>46202</v>
      </c>
      <c r="F99" s="34" t="n">
        <f aca="false">'Schedule Engine'!O98</f>
        <v>46203</v>
      </c>
      <c r="G99" s="0" t="n">
        <f aca="false">'Schedule Engine'!K98</f>
        <v>2</v>
      </c>
      <c r="H99" s="0" t="n">
        <f aca="false">'Schedule Engine'!P98</f>
        <v>0</v>
      </c>
      <c r="L99" s="51"/>
      <c r="M99" s="51"/>
      <c r="S99" s="51"/>
      <c r="T99" s="51"/>
      <c r="Z99" s="51"/>
      <c r="AA99" s="51"/>
      <c r="AG99" s="51"/>
      <c r="AH99" s="51"/>
      <c r="AN99" s="51"/>
      <c r="AO99" s="51"/>
      <c r="AU99" s="51"/>
      <c r="AV99" s="51"/>
      <c r="BB99" s="51"/>
      <c r="BC99" s="51"/>
      <c r="BI99" s="51"/>
      <c r="BJ99" s="51"/>
      <c r="BP99" s="51"/>
      <c r="BQ99" s="51"/>
      <c r="BW99" s="51"/>
      <c r="BX99" s="51"/>
      <c r="CD99" s="51"/>
      <c r="CE99" s="51"/>
      <c r="CK99" s="51"/>
      <c r="CL99" s="51"/>
      <c r="CR99" s="51"/>
      <c r="CS99" s="51"/>
      <c r="CY99" s="51"/>
      <c r="CZ99" s="51"/>
      <c r="DF99" s="51"/>
      <c r="DG99" s="51"/>
      <c r="DM99" s="51"/>
      <c r="DN99" s="51"/>
      <c r="DT99" s="51"/>
      <c r="DU99" s="51"/>
      <c r="EA99" s="51"/>
      <c r="EB99" s="51"/>
      <c r="EH99" s="51"/>
      <c r="EI99" s="51"/>
      <c r="EO99" s="51"/>
      <c r="EP99" s="51"/>
      <c r="EV99" s="51"/>
      <c r="EW99" s="51"/>
      <c r="FC99" s="51"/>
      <c r="FD99" s="51"/>
      <c r="FJ99" s="51"/>
      <c r="FK99" s="51"/>
      <c r="FQ99" s="51"/>
      <c r="FR99" s="51"/>
      <c r="FX99" s="51"/>
      <c r="FY99" s="51"/>
      <c r="GE99" s="51"/>
      <c r="GF99" s="51"/>
      <c r="GL99" s="51"/>
      <c r="GM99" s="51"/>
      <c r="GS99" s="51"/>
      <c r="GT99" s="51"/>
      <c r="GZ99" s="51"/>
      <c r="HA99" s="51"/>
      <c r="HG99" s="51"/>
      <c r="HH99" s="51"/>
      <c r="HN99" s="51"/>
      <c r="HO99" s="51"/>
    </row>
    <row r="100" customFormat="false" ht="15" hidden="false" customHeight="false" outlineLevel="0" collapsed="false">
      <c r="A100" s="0" t="str">
        <f aca="false">'Schedule Engine'!B99</f>
        <v>IW12</v>
      </c>
      <c r="B100" s="0" t="str">
        <f aca="false">'Schedule Engine'!E99</f>
        <v>Plumbing Pre</v>
      </c>
      <c r="C100" s="0" t="str">
        <f aca="false">'Schedule Engine'!F99</f>
        <v>Hays</v>
      </c>
      <c r="D100" s="0" t="str">
        <f aca="false">'Schedule Engine'!G99</f>
        <v>Hays</v>
      </c>
      <c r="E100" s="34" t="n">
        <f aca="false">'Schedule Engine'!N99</f>
        <v>46202</v>
      </c>
      <c r="F100" s="34" t="n">
        <f aca="false">'Schedule Engine'!O99</f>
        <v>46206</v>
      </c>
      <c r="G100" s="0" t="n">
        <f aca="false">'Schedule Engine'!K99</f>
        <v>5</v>
      </c>
      <c r="H100" s="0" t="n">
        <f aca="false">'Schedule Engine'!P99</f>
        <v>0</v>
      </c>
      <c r="L100" s="51"/>
      <c r="M100" s="51"/>
      <c r="S100" s="51"/>
      <c r="T100" s="51"/>
      <c r="Z100" s="51"/>
      <c r="AA100" s="51"/>
      <c r="AG100" s="51"/>
      <c r="AH100" s="51"/>
      <c r="AN100" s="51"/>
      <c r="AO100" s="51"/>
      <c r="AU100" s="51"/>
      <c r="AV100" s="51"/>
      <c r="BB100" s="51"/>
      <c r="BC100" s="51"/>
      <c r="BI100" s="51"/>
      <c r="BJ100" s="51"/>
      <c r="BP100" s="51"/>
      <c r="BQ100" s="51"/>
      <c r="BW100" s="51"/>
      <c r="BX100" s="51"/>
      <c r="CD100" s="51"/>
      <c r="CE100" s="51"/>
      <c r="CK100" s="51"/>
      <c r="CL100" s="51"/>
      <c r="CR100" s="51"/>
      <c r="CS100" s="51"/>
      <c r="CY100" s="51"/>
      <c r="CZ100" s="51"/>
      <c r="DF100" s="51"/>
      <c r="DG100" s="51"/>
      <c r="DM100" s="51"/>
      <c r="DN100" s="51"/>
      <c r="DT100" s="51"/>
      <c r="DU100" s="51"/>
      <c r="EA100" s="51"/>
      <c r="EB100" s="51"/>
      <c r="EH100" s="51"/>
      <c r="EI100" s="51"/>
      <c r="EO100" s="51"/>
      <c r="EP100" s="51"/>
      <c r="EV100" s="51"/>
      <c r="EW100" s="51"/>
      <c r="FC100" s="51"/>
      <c r="FD100" s="51"/>
      <c r="FJ100" s="51"/>
      <c r="FK100" s="51"/>
      <c r="FQ100" s="51"/>
      <c r="FR100" s="51"/>
      <c r="FX100" s="51"/>
      <c r="FY100" s="51"/>
      <c r="GE100" s="51"/>
      <c r="GF100" s="51"/>
      <c r="GL100" s="51"/>
      <c r="GM100" s="51"/>
      <c r="GS100" s="51"/>
      <c r="GT100" s="51"/>
      <c r="GZ100" s="51"/>
      <c r="HA100" s="51"/>
      <c r="HG100" s="51"/>
      <c r="HH100" s="51"/>
      <c r="HN100" s="51"/>
      <c r="HO100" s="51"/>
    </row>
    <row r="101" customFormat="false" ht="15" hidden="false" customHeight="false" outlineLevel="0" collapsed="false">
      <c r="A101" s="0" t="str">
        <f aca="false">'Schedule Engine'!B100</f>
        <v>IW12</v>
      </c>
      <c r="B101" s="0" t="str">
        <f aca="false">'Schedule Engine'!E100</f>
        <v>Electrical Pre</v>
      </c>
      <c r="C101" s="0" t="str">
        <f aca="false">'Schedule Engine'!F100</f>
        <v>Dave Kaler</v>
      </c>
      <c r="D101" s="0" t="n">
        <f aca="false">'Schedule Engine'!G100</f>
        <v>0</v>
      </c>
      <c r="E101" s="34" t="n">
        <f aca="false">'Schedule Engine'!N100</f>
        <v>46202</v>
      </c>
      <c r="F101" s="34" t="n">
        <f aca="false">'Schedule Engine'!O100</f>
        <v>46203</v>
      </c>
      <c r="G101" s="0" t="n">
        <f aca="false">'Schedule Engine'!K100</f>
        <v>2</v>
      </c>
      <c r="H101" s="0" t="n">
        <f aca="false">'Schedule Engine'!P100</f>
        <v>0</v>
      </c>
      <c r="L101" s="51"/>
      <c r="M101" s="51"/>
      <c r="S101" s="51"/>
      <c r="T101" s="51"/>
      <c r="Z101" s="51"/>
      <c r="AA101" s="51"/>
      <c r="AG101" s="51"/>
      <c r="AH101" s="51"/>
      <c r="AN101" s="51"/>
      <c r="AO101" s="51"/>
      <c r="AU101" s="51"/>
      <c r="AV101" s="51"/>
      <c r="BB101" s="51"/>
      <c r="BC101" s="51"/>
      <c r="BI101" s="51"/>
      <c r="BJ101" s="51"/>
      <c r="BP101" s="51"/>
      <c r="BQ101" s="51"/>
      <c r="BW101" s="51"/>
      <c r="BX101" s="51"/>
      <c r="CD101" s="51"/>
      <c r="CE101" s="51"/>
      <c r="CK101" s="51"/>
      <c r="CL101" s="51"/>
      <c r="CR101" s="51"/>
      <c r="CS101" s="51"/>
      <c r="CY101" s="51"/>
      <c r="CZ101" s="51"/>
      <c r="DF101" s="51"/>
      <c r="DG101" s="51"/>
      <c r="DM101" s="51"/>
      <c r="DN101" s="51"/>
      <c r="DT101" s="51"/>
      <c r="DU101" s="51"/>
      <c r="EA101" s="51"/>
      <c r="EB101" s="51"/>
      <c r="EH101" s="51"/>
      <c r="EI101" s="51"/>
      <c r="EO101" s="51"/>
      <c r="EP101" s="51"/>
      <c r="EV101" s="51"/>
      <c r="EW101" s="51"/>
      <c r="FC101" s="51"/>
      <c r="FD101" s="51"/>
      <c r="FJ101" s="51"/>
      <c r="FK101" s="51"/>
      <c r="FQ101" s="51"/>
      <c r="FR101" s="51"/>
      <c r="FX101" s="51"/>
      <c r="FY101" s="51"/>
      <c r="GE101" s="51"/>
      <c r="GF101" s="51"/>
      <c r="GL101" s="51"/>
      <c r="GM101" s="51"/>
      <c r="GS101" s="51"/>
      <c r="GT101" s="51"/>
      <c r="GZ101" s="51"/>
      <c r="HA101" s="51"/>
      <c r="HG101" s="51"/>
      <c r="HH101" s="51"/>
      <c r="HN101" s="51"/>
      <c r="HO101" s="51"/>
    </row>
    <row r="102" customFormat="false" ht="15" hidden="false" customHeight="false" outlineLevel="0" collapsed="false">
      <c r="A102" s="0" t="str">
        <f aca="false">'Schedule Engine'!B101</f>
        <v>IW12</v>
      </c>
      <c r="B102" s="0" t="str">
        <f aca="false">'Schedule Engine'!E101</f>
        <v>Slab</v>
      </c>
      <c r="C102" s="0" t="str">
        <f aca="false">'Schedule Engine'!F101</f>
        <v>3C Concrete</v>
      </c>
      <c r="D102" s="0" t="str">
        <f aca="false">'Schedule Engine'!G101</f>
        <v>3C Concrete</v>
      </c>
      <c r="E102" s="34" t="n">
        <f aca="false">'Schedule Engine'!N101</f>
        <v>46209</v>
      </c>
      <c r="F102" s="34" t="n">
        <f aca="false">'Schedule Engine'!O101</f>
        <v>46212</v>
      </c>
      <c r="G102" s="0" t="n">
        <f aca="false">'Schedule Engine'!K101</f>
        <v>4</v>
      </c>
      <c r="H102" s="0" t="n">
        <f aca="false">'Schedule Engine'!P101</f>
        <v>0</v>
      </c>
      <c r="L102" s="51"/>
      <c r="M102" s="51"/>
      <c r="S102" s="51"/>
      <c r="T102" s="51"/>
      <c r="Z102" s="51"/>
      <c r="AA102" s="51"/>
      <c r="AG102" s="51"/>
      <c r="AH102" s="51"/>
      <c r="AN102" s="51"/>
      <c r="AO102" s="51"/>
      <c r="AU102" s="51"/>
      <c r="AV102" s="51"/>
      <c r="BB102" s="51"/>
      <c r="BC102" s="51"/>
      <c r="BI102" s="51"/>
      <c r="BJ102" s="51"/>
      <c r="BP102" s="51"/>
      <c r="BQ102" s="51"/>
      <c r="BW102" s="51"/>
      <c r="BX102" s="51"/>
      <c r="CD102" s="51"/>
      <c r="CE102" s="51"/>
      <c r="CK102" s="51"/>
      <c r="CL102" s="51"/>
      <c r="CR102" s="51"/>
      <c r="CS102" s="51"/>
      <c r="CY102" s="51"/>
      <c r="CZ102" s="51"/>
      <c r="DF102" s="51"/>
      <c r="DG102" s="51"/>
      <c r="DM102" s="51"/>
      <c r="DN102" s="51"/>
      <c r="DT102" s="51"/>
      <c r="DU102" s="51"/>
      <c r="EA102" s="51"/>
      <c r="EB102" s="51"/>
      <c r="EH102" s="51"/>
      <c r="EI102" s="51"/>
      <c r="EO102" s="51"/>
      <c r="EP102" s="51"/>
      <c r="EV102" s="51"/>
      <c r="EW102" s="51"/>
      <c r="FC102" s="51"/>
      <c r="FD102" s="51"/>
      <c r="FJ102" s="51"/>
      <c r="FK102" s="51"/>
      <c r="FQ102" s="51"/>
      <c r="FR102" s="51"/>
      <c r="FX102" s="51"/>
      <c r="FY102" s="51"/>
      <c r="GE102" s="51"/>
      <c r="GF102" s="51"/>
      <c r="GL102" s="51"/>
      <c r="GM102" s="51"/>
      <c r="GS102" s="51"/>
      <c r="GT102" s="51"/>
      <c r="GZ102" s="51"/>
      <c r="HA102" s="51"/>
      <c r="HG102" s="51"/>
      <c r="HH102" s="51"/>
      <c r="HN102" s="51"/>
      <c r="HO102" s="51"/>
    </row>
    <row r="103" customFormat="false" ht="15" hidden="false" customHeight="false" outlineLevel="0" collapsed="false">
      <c r="A103" s="0" t="str">
        <f aca="false">'Schedule Engine'!B102</f>
        <v>IW12</v>
      </c>
      <c r="B103" s="0" t="str">
        <f aca="false">'Schedule Engine'!E102</f>
        <v>Framing</v>
      </c>
      <c r="C103" s="0" t="str">
        <f aca="false">'Schedule Engine'!F102</f>
        <v>Gerardo</v>
      </c>
      <c r="D103" s="0" t="n">
        <f aca="false">'Schedule Engine'!G102</f>
        <v>0</v>
      </c>
      <c r="E103" s="34" t="n">
        <f aca="false">'Schedule Engine'!N102</f>
        <v>46213</v>
      </c>
      <c r="F103" s="34" t="n">
        <f aca="false">'Schedule Engine'!O102</f>
        <v>46254</v>
      </c>
      <c r="G103" s="0" t="n">
        <f aca="false">'Schedule Engine'!K102</f>
        <v>30</v>
      </c>
      <c r="H103" s="0" t="n">
        <f aca="false">'Schedule Engine'!P102</f>
        <v>0</v>
      </c>
      <c r="L103" s="51"/>
      <c r="M103" s="51"/>
      <c r="S103" s="51"/>
      <c r="T103" s="51"/>
      <c r="Z103" s="51"/>
      <c r="AA103" s="51"/>
      <c r="AG103" s="51"/>
      <c r="AH103" s="51"/>
      <c r="AN103" s="51"/>
      <c r="AO103" s="51"/>
      <c r="AU103" s="51"/>
      <c r="AV103" s="51"/>
      <c r="BB103" s="51"/>
      <c r="BC103" s="51"/>
      <c r="BI103" s="51"/>
      <c r="BJ103" s="51"/>
      <c r="BP103" s="51"/>
      <c r="BQ103" s="51"/>
      <c r="BW103" s="51"/>
      <c r="BX103" s="51"/>
      <c r="CD103" s="51"/>
      <c r="CE103" s="51"/>
      <c r="CK103" s="51"/>
      <c r="CL103" s="51"/>
      <c r="CR103" s="51"/>
      <c r="CS103" s="51"/>
      <c r="CY103" s="51"/>
      <c r="CZ103" s="51"/>
      <c r="DF103" s="51"/>
      <c r="DG103" s="51"/>
      <c r="DM103" s="51"/>
      <c r="DN103" s="51"/>
      <c r="DT103" s="51"/>
      <c r="DU103" s="51"/>
      <c r="EA103" s="51"/>
      <c r="EB103" s="51"/>
      <c r="EH103" s="51"/>
      <c r="EI103" s="51"/>
      <c r="EO103" s="51"/>
      <c r="EP103" s="51"/>
      <c r="EV103" s="51"/>
      <c r="EW103" s="51"/>
      <c r="FC103" s="51"/>
      <c r="FD103" s="51"/>
      <c r="FJ103" s="51"/>
      <c r="FK103" s="51"/>
      <c r="FQ103" s="51"/>
      <c r="FR103" s="51"/>
      <c r="FX103" s="51"/>
      <c r="FY103" s="51"/>
      <c r="GE103" s="51"/>
      <c r="GF103" s="51"/>
      <c r="GL103" s="51"/>
      <c r="GM103" s="51"/>
      <c r="GS103" s="51"/>
      <c r="GT103" s="51"/>
      <c r="GZ103" s="51"/>
      <c r="HA103" s="51"/>
      <c r="HG103" s="51"/>
      <c r="HH103" s="51"/>
      <c r="HN103" s="51"/>
      <c r="HO103" s="51"/>
    </row>
    <row r="104" customFormat="false" ht="15" hidden="false" customHeight="false" outlineLevel="0" collapsed="false">
      <c r="A104" s="0" t="str">
        <f aca="false">'Schedule Engine'!B103</f>
        <v>IW12</v>
      </c>
      <c r="B104" s="0" t="str">
        <f aca="false">'Schedule Engine'!E103</f>
        <v>Roofing</v>
      </c>
      <c r="C104" s="0" t="str">
        <f aca="false">'Schedule Engine'!F103</f>
        <v>Rod Smith</v>
      </c>
      <c r="D104" s="0" t="n">
        <f aca="false">'Schedule Engine'!G103</f>
        <v>0</v>
      </c>
      <c r="E104" s="34" t="n">
        <f aca="false">'Schedule Engine'!N103</f>
        <v>46255</v>
      </c>
      <c r="F104" s="34" t="n">
        <f aca="false">'Schedule Engine'!O103</f>
        <v>46260</v>
      </c>
      <c r="G104" s="0" t="n">
        <f aca="false">'Schedule Engine'!K103</f>
        <v>4</v>
      </c>
      <c r="H104" s="0" t="n">
        <f aca="false">'Schedule Engine'!P103</f>
        <v>0</v>
      </c>
      <c r="L104" s="51"/>
      <c r="M104" s="51"/>
      <c r="S104" s="51"/>
      <c r="T104" s="51"/>
      <c r="Z104" s="51"/>
      <c r="AA104" s="51"/>
      <c r="AG104" s="51"/>
      <c r="AH104" s="51"/>
      <c r="AN104" s="51"/>
      <c r="AO104" s="51"/>
      <c r="AU104" s="51"/>
      <c r="AV104" s="51"/>
      <c r="BB104" s="51"/>
      <c r="BC104" s="51"/>
      <c r="BI104" s="51"/>
      <c r="BJ104" s="51"/>
      <c r="BP104" s="51"/>
      <c r="BQ104" s="51"/>
      <c r="BW104" s="51"/>
      <c r="BX104" s="51"/>
      <c r="CD104" s="51"/>
      <c r="CE104" s="51"/>
      <c r="CK104" s="51"/>
      <c r="CL104" s="51"/>
      <c r="CR104" s="51"/>
      <c r="CS104" s="51"/>
      <c r="CY104" s="51"/>
      <c r="CZ104" s="51"/>
      <c r="DF104" s="51"/>
      <c r="DG104" s="51"/>
      <c r="DM104" s="51"/>
      <c r="DN104" s="51"/>
      <c r="DT104" s="51"/>
      <c r="DU104" s="51"/>
      <c r="EA104" s="51"/>
      <c r="EB104" s="51"/>
      <c r="EH104" s="51"/>
      <c r="EI104" s="51"/>
      <c r="EO104" s="51"/>
      <c r="EP104" s="51"/>
      <c r="EV104" s="51"/>
      <c r="EW104" s="51"/>
      <c r="FC104" s="51"/>
      <c r="FD104" s="51"/>
      <c r="FJ104" s="51"/>
      <c r="FK104" s="51"/>
      <c r="FQ104" s="51"/>
      <c r="FR104" s="51"/>
      <c r="FX104" s="51"/>
      <c r="FY104" s="51"/>
      <c r="GE104" s="51"/>
      <c r="GF104" s="51"/>
      <c r="GL104" s="51"/>
      <c r="GM104" s="51"/>
      <c r="GS104" s="51"/>
      <c r="GT104" s="51"/>
      <c r="GZ104" s="51"/>
      <c r="HA104" s="51"/>
      <c r="HG104" s="51"/>
      <c r="HH104" s="51"/>
      <c r="HN104" s="51"/>
      <c r="HO104" s="51"/>
    </row>
    <row r="105" customFormat="false" ht="15" hidden="false" customHeight="false" outlineLevel="0" collapsed="false">
      <c r="A105" s="0" t="str">
        <f aca="false">'Schedule Engine'!B104</f>
        <v>IW12</v>
      </c>
      <c r="B105" s="0" t="str">
        <f aca="false">'Schedule Engine'!E104</f>
        <v>Brick</v>
      </c>
      <c r="C105" s="0" t="str">
        <f aca="false">'Schedule Engine'!F104</f>
        <v>Julio H</v>
      </c>
      <c r="D105" s="0" t="n">
        <f aca="false">'Schedule Engine'!G104</f>
        <v>0</v>
      </c>
      <c r="E105" s="34" t="n">
        <f aca="false">'Schedule Engine'!N104</f>
        <v>46261</v>
      </c>
      <c r="F105" s="34" t="n">
        <f aca="false">'Schedule Engine'!O104</f>
        <v>46288</v>
      </c>
      <c r="G105" s="0" t="n">
        <f aca="false">'Schedule Engine'!K104</f>
        <v>20</v>
      </c>
      <c r="H105" s="0" t="n">
        <f aca="false">'Schedule Engine'!P104</f>
        <v>0</v>
      </c>
      <c r="L105" s="51"/>
      <c r="M105" s="51"/>
      <c r="S105" s="51"/>
      <c r="T105" s="51"/>
      <c r="Z105" s="51"/>
      <c r="AA105" s="51"/>
      <c r="AG105" s="51"/>
      <c r="AH105" s="51"/>
      <c r="AN105" s="51"/>
      <c r="AO105" s="51"/>
      <c r="AU105" s="51"/>
      <c r="AV105" s="51"/>
      <c r="BB105" s="51"/>
      <c r="BC105" s="51"/>
      <c r="BI105" s="51"/>
      <c r="BJ105" s="51"/>
      <c r="BP105" s="51"/>
      <c r="BQ105" s="51"/>
      <c r="BW105" s="51"/>
      <c r="BX105" s="51"/>
      <c r="CD105" s="51"/>
      <c r="CE105" s="51"/>
      <c r="CK105" s="51"/>
      <c r="CL105" s="51"/>
      <c r="CR105" s="51"/>
      <c r="CS105" s="51"/>
      <c r="CY105" s="51"/>
      <c r="CZ105" s="51"/>
      <c r="DF105" s="51"/>
      <c r="DG105" s="51"/>
      <c r="DM105" s="51"/>
      <c r="DN105" s="51"/>
      <c r="DT105" s="51"/>
      <c r="DU105" s="51"/>
      <c r="EA105" s="51"/>
      <c r="EB105" s="51"/>
      <c r="EH105" s="51"/>
      <c r="EI105" s="51"/>
      <c r="EO105" s="51"/>
      <c r="EP105" s="51"/>
      <c r="EV105" s="51"/>
      <c r="EW105" s="51"/>
      <c r="FC105" s="51"/>
      <c r="FD105" s="51"/>
      <c r="FJ105" s="51"/>
      <c r="FK105" s="51"/>
      <c r="FQ105" s="51"/>
      <c r="FR105" s="51"/>
      <c r="FX105" s="51"/>
      <c r="FY105" s="51"/>
      <c r="GE105" s="51"/>
      <c r="GF105" s="51"/>
      <c r="GL105" s="51"/>
      <c r="GM105" s="51"/>
      <c r="GS105" s="51"/>
      <c r="GT105" s="51"/>
      <c r="GZ105" s="51"/>
      <c r="HA105" s="51"/>
      <c r="HG105" s="51"/>
      <c r="HH105" s="51"/>
      <c r="HN105" s="51"/>
      <c r="HO105" s="51"/>
    </row>
    <row r="106" customFormat="false" ht="15" hidden="false" customHeight="false" outlineLevel="0" collapsed="false">
      <c r="A106" s="0" t="str">
        <f aca="false">'Schedule Engine'!B105</f>
        <v>IW12</v>
      </c>
      <c r="B106" s="0" t="str">
        <f aca="false">'Schedule Engine'!E105</f>
        <v>Stone</v>
      </c>
      <c r="C106" s="0" t="str">
        <f aca="false">'Schedule Engine'!F105</f>
        <v>Julio H</v>
      </c>
      <c r="D106" s="0" t="n">
        <f aca="false">'Schedule Engine'!G105</f>
        <v>0</v>
      </c>
      <c r="E106" s="34" t="n">
        <f aca="false">'Schedule Engine'!N105</f>
        <v>46261</v>
      </c>
      <c r="F106" s="34" t="n">
        <f aca="false">'Schedule Engine'!O105</f>
        <v>46288</v>
      </c>
      <c r="G106" s="0" t="n">
        <f aca="false">'Schedule Engine'!K105</f>
        <v>20</v>
      </c>
      <c r="H106" s="0" t="n">
        <f aca="false">'Schedule Engine'!P105</f>
        <v>0</v>
      </c>
      <c r="L106" s="51"/>
      <c r="M106" s="51"/>
      <c r="S106" s="51"/>
      <c r="T106" s="51"/>
      <c r="Z106" s="51"/>
      <c r="AA106" s="51"/>
      <c r="AG106" s="51"/>
      <c r="AH106" s="51"/>
      <c r="AN106" s="51"/>
      <c r="AO106" s="51"/>
      <c r="AU106" s="51"/>
      <c r="AV106" s="51"/>
      <c r="BB106" s="51"/>
      <c r="BC106" s="51"/>
      <c r="BI106" s="51"/>
      <c r="BJ106" s="51"/>
      <c r="BP106" s="51"/>
      <c r="BQ106" s="51"/>
      <c r="BW106" s="51"/>
      <c r="BX106" s="51"/>
      <c r="CD106" s="51"/>
      <c r="CE106" s="51"/>
      <c r="CK106" s="51"/>
      <c r="CL106" s="51"/>
      <c r="CR106" s="51"/>
      <c r="CS106" s="51"/>
      <c r="CY106" s="51"/>
      <c r="CZ106" s="51"/>
      <c r="DF106" s="51"/>
      <c r="DG106" s="51"/>
      <c r="DM106" s="51"/>
      <c r="DN106" s="51"/>
      <c r="DT106" s="51"/>
      <c r="DU106" s="51"/>
      <c r="EA106" s="51"/>
      <c r="EB106" s="51"/>
      <c r="EH106" s="51"/>
      <c r="EI106" s="51"/>
      <c r="EO106" s="51"/>
      <c r="EP106" s="51"/>
      <c r="EV106" s="51"/>
      <c r="EW106" s="51"/>
      <c r="FC106" s="51"/>
      <c r="FD106" s="51"/>
      <c r="FJ106" s="51"/>
      <c r="FK106" s="51"/>
      <c r="FQ106" s="51"/>
      <c r="FR106" s="51"/>
      <c r="FX106" s="51"/>
      <c r="FY106" s="51"/>
      <c r="GE106" s="51"/>
      <c r="GF106" s="51"/>
      <c r="GL106" s="51"/>
      <c r="GM106" s="51"/>
      <c r="GS106" s="51"/>
      <c r="GT106" s="51"/>
      <c r="GZ106" s="51"/>
      <c r="HA106" s="51"/>
      <c r="HG106" s="51"/>
      <c r="HH106" s="51"/>
      <c r="HN106" s="51"/>
      <c r="HO106" s="51"/>
    </row>
    <row r="107" customFormat="false" ht="15" hidden="false" customHeight="false" outlineLevel="0" collapsed="false">
      <c r="A107" s="0" t="str">
        <f aca="false">'Schedule Engine'!B106</f>
        <v>IW12</v>
      </c>
      <c r="B107" s="0" t="str">
        <f aca="false">'Schedule Engine'!E106</f>
        <v>Siding</v>
      </c>
      <c r="C107" s="0" t="str">
        <f aca="false">'Schedule Engine'!F106</f>
        <v>Gerardo</v>
      </c>
      <c r="D107" s="0" t="n">
        <f aca="false">'Schedule Engine'!G106</f>
        <v>0</v>
      </c>
      <c r="E107" s="34" t="n">
        <f aca="false">'Schedule Engine'!N106</f>
        <v>46261</v>
      </c>
      <c r="F107" s="34" t="n">
        <f aca="false">'Schedule Engine'!O106</f>
        <v>46288</v>
      </c>
      <c r="G107" s="0" t="n">
        <f aca="false">'Schedule Engine'!K106</f>
        <v>20</v>
      </c>
      <c r="H107" s="0" t="n">
        <f aca="false">'Schedule Engine'!P106</f>
        <v>0</v>
      </c>
      <c r="L107" s="51"/>
      <c r="M107" s="51"/>
      <c r="S107" s="51"/>
      <c r="T107" s="51"/>
      <c r="Z107" s="51"/>
      <c r="AA107" s="51"/>
      <c r="AG107" s="51"/>
      <c r="AH107" s="51"/>
      <c r="AN107" s="51"/>
      <c r="AO107" s="51"/>
      <c r="AU107" s="51"/>
      <c r="AV107" s="51"/>
      <c r="BB107" s="51"/>
      <c r="BC107" s="51"/>
      <c r="BI107" s="51"/>
      <c r="BJ107" s="51"/>
      <c r="BP107" s="51"/>
      <c r="BQ107" s="51"/>
      <c r="BW107" s="51"/>
      <c r="BX107" s="51"/>
      <c r="CD107" s="51"/>
      <c r="CE107" s="51"/>
      <c r="CK107" s="51"/>
      <c r="CL107" s="51"/>
      <c r="CR107" s="51"/>
      <c r="CS107" s="51"/>
      <c r="CY107" s="51"/>
      <c r="CZ107" s="51"/>
      <c r="DF107" s="51"/>
      <c r="DG107" s="51"/>
      <c r="DM107" s="51"/>
      <c r="DN107" s="51"/>
      <c r="DT107" s="51"/>
      <c r="DU107" s="51"/>
      <c r="EA107" s="51"/>
      <c r="EB107" s="51"/>
      <c r="EH107" s="51"/>
      <c r="EI107" s="51"/>
      <c r="EO107" s="51"/>
      <c r="EP107" s="51"/>
      <c r="EV107" s="51"/>
      <c r="EW107" s="51"/>
      <c r="FC107" s="51"/>
      <c r="FD107" s="51"/>
      <c r="FJ107" s="51"/>
      <c r="FK107" s="51"/>
      <c r="FQ107" s="51"/>
      <c r="FR107" s="51"/>
      <c r="FX107" s="51"/>
      <c r="FY107" s="51"/>
      <c r="GE107" s="51"/>
      <c r="GF107" s="51"/>
      <c r="GL107" s="51"/>
      <c r="GM107" s="51"/>
      <c r="GS107" s="51"/>
      <c r="GT107" s="51"/>
      <c r="GZ107" s="51"/>
      <c r="HA107" s="51"/>
      <c r="HG107" s="51"/>
      <c r="HH107" s="51"/>
      <c r="HN107" s="51"/>
      <c r="HO107" s="51"/>
    </row>
    <row r="108" customFormat="false" ht="15" hidden="false" customHeight="false" outlineLevel="0" collapsed="false">
      <c r="A108" s="0" t="str">
        <f aca="false">'Schedule Engine'!B107</f>
        <v>IW12</v>
      </c>
      <c r="B108" s="0" t="str">
        <f aca="false">'Schedule Engine'!E107</f>
        <v>Rough Grade</v>
      </c>
      <c r="C108" s="0" t="n">
        <f aca="false">'Schedule Engine'!F107</f>
        <v>0</v>
      </c>
      <c r="D108" s="0" t="n">
        <f aca="false">'Schedule Engine'!G107</f>
        <v>0</v>
      </c>
      <c r="E108" s="34" t="n">
        <f aca="false">'Schedule Engine'!N107</f>
        <v>46289</v>
      </c>
      <c r="F108" s="34" t="n">
        <f aca="false">'Schedule Engine'!O107</f>
        <v>46290</v>
      </c>
      <c r="G108" s="0" t="n">
        <f aca="false">'Schedule Engine'!K107</f>
        <v>2</v>
      </c>
      <c r="H108" s="0" t="n">
        <f aca="false">'Schedule Engine'!P107</f>
        <v>0</v>
      </c>
      <c r="L108" s="51"/>
      <c r="M108" s="51"/>
      <c r="S108" s="51"/>
      <c r="T108" s="51"/>
      <c r="Z108" s="51"/>
      <c r="AA108" s="51"/>
      <c r="AG108" s="51"/>
      <c r="AH108" s="51"/>
      <c r="AN108" s="51"/>
      <c r="AO108" s="51"/>
      <c r="AU108" s="51"/>
      <c r="AV108" s="51"/>
      <c r="BB108" s="51"/>
      <c r="BC108" s="51"/>
      <c r="BI108" s="51"/>
      <c r="BJ108" s="51"/>
      <c r="BP108" s="51"/>
      <c r="BQ108" s="51"/>
      <c r="BW108" s="51"/>
      <c r="BX108" s="51"/>
      <c r="CD108" s="51"/>
      <c r="CE108" s="51"/>
      <c r="CK108" s="51"/>
      <c r="CL108" s="51"/>
      <c r="CR108" s="51"/>
      <c r="CS108" s="51"/>
      <c r="CY108" s="51"/>
      <c r="CZ108" s="51"/>
      <c r="DF108" s="51"/>
      <c r="DG108" s="51"/>
      <c r="DM108" s="51"/>
      <c r="DN108" s="51"/>
      <c r="DT108" s="51"/>
      <c r="DU108" s="51"/>
      <c r="EA108" s="51"/>
      <c r="EB108" s="51"/>
      <c r="EH108" s="51"/>
      <c r="EI108" s="51"/>
      <c r="EO108" s="51"/>
      <c r="EP108" s="51"/>
      <c r="EV108" s="51"/>
      <c r="EW108" s="51"/>
      <c r="FC108" s="51"/>
      <c r="FD108" s="51"/>
      <c r="FJ108" s="51"/>
      <c r="FK108" s="51"/>
      <c r="FQ108" s="51"/>
      <c r="FR108" s="51"/>
      <c r="FX108" s="51"/>
      <c r="FY108" s="51"/>
      <c r="GE108" s="51"/>
      <c r="GF108" s="51"/>
      <c r="GL108" s="51"/>
      <c r="GM108" s="51"/>
      <c r="GS108" s="51"/>
      <c r="GT108" s="51"/>
      <c r="GZ108" s="51"/>
      <c r="HA108" s="51"/>
      <c r="HG108" s="51"/>
      <c r="HH108" s="51"/>
      <c r="HN108" s="51"/>
      <c r="HO108" s="51"/>
    </row>
    <row r="109" customFormat="false" ht="15" hidden="false" customHeight="false" outlineLevel="0" collapsed="false">
      <c r="A109" s="0" t="str">
        <f aca="false">'Schedule Engine'!B108</f>
        <v>IW12</v>
      </c>
      <c r="B109" s="0" t="str">
        <f aca="false">'Schedule Engine'!E108</f>
        <v>Irrigation</v>
      </c>
      <c r="C109" s="0" t="str">
        <f aca="false">'Schedule Engine'!F108</f>
        <v>Ramiro</v>
      </c>
      <c r="D109" s="0" t="n">
        <f aca="false">'Schedule Engine'!G108</f>
        <v>0</v>
      </c>
      <c r="E109" s="34" t="n">
        <f aca="false">'Schedule Engine'!N108</f>
        <v>46293</v>
      </c>
      <c r="F109" s="34" t="n">
        <f aca="false">'Schedule Engine'!O108</f>
        <v>46294</v>
      </c>
      <c r="G109" s="0" t="n">
        <f aca="false">'Schedule Engine'!K108</f>
        <v>2</v>
      </c>
      <c r="H109" s="0" t="n">
        <f aca="false">'Schedule Engine'!P108</f>
        <v>0</v>
      </c>
      <c r="L109" s="51"/>
      <c r="M109" s="51"/>
      <c r="S109" s="51"/>
      <c r="T109" s="51"/>
      <c r="Z109" s="51"/>
      <c r="AA109" s="51"/>
      <c r="AG109" s="51"/>
      <c r="AH109" s="51"/>
      <c r="AN109" s="51"/>
      <c r="AO109" s="51"/>
      <c r="AU109" s="51"/>
      <c r="AV109" s="51"/>
      <c r="BB109" s="51"/>
      <c r="BC109" s="51"/>
      <c r="BI109" s="51"/>
      <c r="BJ109" s="51"/>
      <c r="BP109" s="51"/>
      <c r="BQ109" s="51"/>
      <c r="BW109" s="51"/>
      <c r="BX109" s="51"/>
      <c r="CD109" s="51"/>
      <c r="CE109" s="51"/>
      <c r="CK109" s="51"/>
      <c r="CL109" s="51"/>
      <c r="CR109" s="51"/>
      <c r="CS109" s="51"/>
      <c r="CY109" s="51"/>
      <c r="CZ109" s="51"/>
      <c r="DF109" s="51"/>
      <c r="DG109" s="51"/>
      <c r="DM109" s="51"/>
      <c r="DN109" s="51"/>
      <c r="DT109" s="51"/>
      <c r="DU109" s="51"/>
      <c r="EA109" s="51"/>
      <c r="EB109" s="51"/>
      <c r="EH109" s="51"/>
      <c r="EI109" s="51"/>
      <c r="EO109" s="51"/>
      <c r="EP109" s="51"/>
      <c r="EV109" s="51"/>
      <c r="EW109" s="51"/>
      <c r="FC109" s="51"/>
      <c r="FD109" s="51"/>
      <c r="FJ109" s="51"/>
      <c r="FK109" s="51"/>
      <c r="FQ109" s="51"/>
      <c r="FR109" s="51"/>
      <c r="FX109" s="51"/>
      <c r="FY109" s="51"/>
      <c r="GE109" s="51"/>
      <c r="GF109" s="51"/>
      <c r="GL109" s="51"/>
      <c r="GM109" s="51"/>
      <c r="GS109" s="51"/>
      <c r="GT109" s="51"/>
      <c r="GZ109" s="51"/>
      <c r="HA109" s="51"/>
      <c r="HG109" s="51"/>
      <c r="HH109" s="51"/>
      <c r="HN109" s="51"/>
      <c r="HO109" s="51"/>
    </row>
    <row r="110" customFormat="false" ht="15" hidden="false" customHeight="false" outlineLevel="0" collapsed="false">
      <c r="A110" s="0" t="str">
        <f aca="false">'Schedule Engine'!B109</f>
        <v>IW12</v>
      </c>
      <c r="B110" s="0" t="str">
        <f aca="false">'Schedule Engine'!E109</f>
        <v>Finish Grade</v>
      </c>
      <c r="C110" s="0" t="str">
        <f aca="false">'Schedule Engine'!F109</f>
        <v>Jacob Hayden</v>
      </c>
      <c r="D110" s="0" t="n">
        <f aca="false">'Schedule Engine'!G109</f>
        <v>0</v>
      </c>
      <c r="E110" s="34" t="n">
        <f aca="false">'Schedule Engine'!N109</f>
        <v>46295</v>
      </c>
      <c r="F110" s="34" t="n">
        <f aca="false">'Schedule Engine'!O109</f>
        <v>46296</v>
      </c>
      <c r="G110" s="0" t="n">
        <f aca="false">'Schedule Engine'!K109</f>
        <v>2</v>
      </c>
      <c r="H110" s="0" t="n">
        <f aca="false">'Schedule Engine'!P109</f>
        <v>0</v>
      </c>
      <c r="L110" s="51"/>
      <c r="M110" s="51"/>
      <c r="S110" s="51"/>
      <c r="T110" s="51"/>
      <c r="Z110" s="51"/>
      <c r="AA110" s="51"/>
      <c r="AG110" s="51"/>
      <c r="AH110" s="51"/>
      <c r="AN110" s="51"/>
      <c r="AO110" s="51"/>
      <c r="AU110" s="51"/>
      <c r="AV110" s="51"/>
      <c r="BB110" s="51"/>
      <c r="BC110" s="51"/>
      <c r="BI110" s="51"/>
      <c r="BJ110" s="51"/>
      <c r="BP110" s="51"/>
      <c r="BQ110" s="51"/>
      <c r="BW110" s="51"/>
      <c r="BX110" s="51"/>
      <c r="CD110" s="51"/>
      <c r="CE110" s="51"/>
      <c r="CK110" s="51"/>
      <c r="CL110" s="51"/>
      <c r="CR110" s="51"/>
      <c r="CS110" s="51"/>
      <c r="CY110" s="51"/>
      <c r="CZ110" s="51"/>
      <c r="DF110" s="51"/>
      <c r="DG110" s="51"/>
      <c r="DM110" s="51"/>
      <c r="DN110" s="51"/>
      <c r="DT110" s="51"/>
      <c r="DU110" s="51"/>
      <c r="EA110" s="51"/>
      <c r="EB110" s="51"/>
      <c r="EH110" s="51"/>
      <c r="EI110" s="51"/>
      <c r="EO110" s="51"/>
      <c r="EP110" s="51"/>
      <c r="EV110" s="51"/>
      <c r="EW110" s="51"/>
      <c r="FC110" s="51"/>
      <c r="FD110" s="51"/>
      <c r="FJ110" s="51"/>
      <c r="FK110" s="51"/>
      <c r="FQ110" s="51"/>
      <c r="FR110" s="51"/>
      <c r="FX110" s="51"/>
      <c r="FY110" s="51"/>
      <c r="GE110" s="51"/>
      <c r="GF110" s="51"/>
      <c r="GL110" s="51"/>
      <c r="GM110" s="51"/>
      <c r="GS110" s="51"/>
      <c r="GT110" s="51"/>
      <c r="GZ110" s="51"/>
      <c r="HA110" s="51"/>
      <c r="HG110" s="51"/>
      <c r="HH110" s="51"/>
      <c r="HN110" s="51"/>
      <c r="HO110" s="51"/>
    </row>
    <row r="111" customFormat="false" ht="15" hidden="false" customHeight="false" outlineLevel="0" collapsed="false">
      <c r="A111" s="0" t="str">
        <f aca="false">'Schedule Engine'!B110</f>
        <v>IW12</v>
      </c>
      <c r="B111" s="0" t="str">
        <f aca="false">'Schedule Engine'!E110</f>
        <v>Landscaping</v>
      </c>
      <c r="C111" s="0" t="str">
        <f aca="false">'Schedule Engine'!F110</f>
        <v>Jacob Hayden</v>
      </c>
      <c r="D111" s="0" t="n">
        <f aca="false">'Schedule Engine'!G110</f>
        <v>0</v>
      </c>
      <c r="E111" s="34" t="n">
        <f aca="false">'Schedule Engine'!N110</f>
        <v>46295</v>
      </c>
      <c r="F111" s="34" t="n">
        <f aca="false">'Schedule Engine'!O110</f>
        <v>46296</v>
      </c>
      <c r="G111" s="0" t="n">
        <f aca="false">'Schedule Engine'!K110</f>
        <v>2</v>
      </c>
      <c r="H111" s="0" t="n">
        <f aca="false">'Schedule Engine'!P110</f>
        <v>0</v>
      </c>
      <c r="L111" s="51"/>
      <c r="M111" s="51"/>
      <c r="S111" s="51"/>
      <c r="T111" s="51"/>
      <c r="Z111" s="51"/>
      <c r="AA111" s="51"/>
      <c r="AG111" s="51"/>
      <c r="AH111" s="51"/>
      <c r="AN111" s="51"/>
      <c r="AO111" s="51"/>
      <c r="AU111" s="51"/>
      <c r="AV111" s="51"/>
      <c r="BB111" s="51"/>
      <c r="BC111" s="51"/>
      <c r="BI111" s="51"/>
      <c r="BJ111" s="51"/>
      <c r="BP111" s="51"/>
      <c r="BQ111" s="51"/>
      <c r="BW111" s="51"/>
      <c r="BX111" s="51"/>
      <c r="CD111" s="51"/>
      <c r="CE111" s="51"/>
      <c r="CK111" s="51"/>
      <c r="CL111" s="51"/>
      <c r="CR111" s="51"/>
      <c r="CS111" s="51"/>
      <c r="CY111" s="51"/>
      <c r="CZ111" s="51"/>
      <c r="DF111" s="51"/>
      <c r="DG111" s="51"/>
      <c r="DM111" s="51"/>
      <c r="DN111" s="51"/>
      <c r="DT111" s="51"/>
      <c r="DU111" s="51"/>
      <c r="EA111" s="51"/>
      <c r="EB111" s="51"/>
      <c r="EH111" s="51"/>
      <c r="EI111" s="51"/>
      <c r="EO111" s="51"/>
      <c r="EP111" s="51"/>
      <c r="EV111" s="51"/>
      <c r="EW111" s="51"/>
      <c r="FC111" s="51"/>
      <c r="FD111" s="51"/>
      <c r="FJ111" s="51"/>
      <c r="FK111" s="51"/>
      <c r="FQ111" s="51"/>
      <c r="FR111" s="51"/>
      <c r="FX111" s="51"/>
      <c r="FY111" s="51"/>
      <c r="GE111" s="51"/>
      <c r="GF111" s="51"/>
      <c r="GL111" s="51"/>
      <c r="GM111" s="51"/>
      <c r="GS111" s="51"/>
      <c r="GT111" s="51"/>
      <c r="GZ111" s="51"/>
      <c r="HA111" s="51"/>
      <c r="HG111" s="51"/>
      <c r="HH111" s="51"/>
      <c r="HN111" s="51"/>
      <c r="HO111" s="51"/>
    </row>
    <row r="112" customFormat="false" ht="15" hidden="false" customHeight="false" outlineLevel="0" collapsed="false">
      <c r="A112" s="0" t="str">
        <f aca="false">'Schedule Engine'!B111</f>
        <v>IW12</v>
      </c>
      <c r="B112" s="0" t="str">
        <f aca="false">'Schedule Engine'!E111</f>
        <v>Lawn Seeding</v>
      </c>
      <c r="C112" s="0" t="str">
        <f aca="false">'Schedule Engine'!F111</f>
        <v>TruGreen</v>
      </c>
      <c r="D112" s="0" t="n">
        <f aca="false">'Schedule Engine'!G111</f>
        <v>0</v>
      </c>
      <c r="E112" s="34" t="n">
        <f aca="false">'Schedule Engine'!N111</f>
        <v>46297</v>
      </c>
      <c r="F112" s="34" t="n">
        <f aca="false">'Schedule Engine'!O111</f>
        <v>46300</v>
      </c>
      <c r="G112" s="0" t="n">
        <f aca="false">'Schedule Engine'!K111</f>
        <v>2</v>
      </c>
      <c r="H112" s="0" t="n">
        <f aca="false">'Schedule Engine'!P111</f>
        <v>0</v>
      </c>
      <c r="L112" s="51"/>
      <c r="M112" s="51"/>
      <c r="S112" s="51"/>
      <c r="T112" s="51"/>
      <c r="Z112" s="51"/>
      <c r="AA112" s="51"/>
      <c r="AG112" s="51"/>
      <c r="AH112" s="51"/>
      <c r="AN112" s="51"/>
      <c r="AO112" s="51"/>
      <c r="AU112" s="51"/>
      <c r="AV112" s="51"/>
      <c r="BB112" s="51"/>
      <c r="BC112" s="51"/>
      <c r="BI112" s="51"/>
      <c r="BJ112" s="51"/>
      <c r="BP112" s="51"/>
      <c r="BQ112" s="51"/>
      <c r="BW112" s="51"/>
      <c r="BX112" s="51"/>
      <c r="CD112" s="51"/>
      <c r="CE112" s="51"/>
      <c r="CK112" s="51"/>
      <c r="CL112" s="51"/>
      <c r="CR112" s="51"/>
      <c r="CS112" s="51"/>
      <c r="CY112" s="51"/>
      <c r="CZ112" s="51"/>
      <c r="DF112" s="51"/>
      <c r="DG112" s="51"/>
      <c r="DM112" s="51"/>
      <c r="DN112" s="51"/>
      <c r="DT112" s="51"/>
      <c r="DU112" s="51"/>
      <c r="EA112" s="51"/>
      <c r="EB112" s="51"/>
      <c r="EH112" s="51"/>
      <c r="EI112" s="51"/>
      <c r="EO112" s="51"/>
      <c r="EP112" s="51"/>
      <c r="EV112" s="51"/>
      <c r="EW112" s="51"/>
      <c r="FC112" s="51"/>
      <c r="FD112" s="51"/>
      <c r="FJ112" s="51"/>
      <c r="FK112" s="51"/>
      <c r="FQ112" s="51"/>
      <c r="FR112" s="51"/>
      <c r="FX112" s="51"/>
      <c r="FY112" s="51"/>
      <c r="GE112" s="51"/>
      <c r="GF112" s="51"/>
      <c r="GL112" s="51"/>
      <c r="GM112" s="51"/>
      <c r="GS112" s="51"/>
      <c r="GT112" s="51"/>
      <c r="GZ112" s="51"/>
      <c r="HA112" s="51"/>
      <c r="HG112" s="51"/>
      <c r="HH112" s="51"/>
      <c r="HN112" s="51"/>
      <c r="HO112" s="51"/>
    </row>
    <row r="113" customFormat="false" ht="15" hidden="false" customHeight="false" outlineLevel="0" collapsed="false">
      <c r="A113" s="0" t="str">
        <f aca="false">'Schedule Engine'!B112</f>
        <v>IW12</v>
      </c>
      <c r="B113" s="0" t="str">
        <f aca="false">'Schedule Engine'!E112</f>
        <v>Gutter drains</v>
      </c>
      <c r="C113" s="0" t="n">
        <f aca="false">'Schedule Engine'!F112</f>
        <v>0</v>
      </c>
      <c r="D113" s="0" t="n">
        <f aca="false">'Schedule Engine'!G112</f>
        <v>0</v>
      </c>
      <c r="E113" s="34" t="n">
        <f aca="false">'Schedule Engine'!N112</f>
        <v>46293</v>
      </c>
      <c r="F113" s="34" t="n">
        <f aca="false">'Schedule Engine'!O112</f>
        <v>46294</v>
      </c>
      <c r="G113" s="0" t="n">
        <f aca="false">'Schedule Engine'!K112</f>
        <v>2</v>
      </c>
      <c r="H113" s="0" t="n">
        <f aca="false">'Schedule Engine'!P112</f>
        <v>0</v>
      </c>
      <c r="L113" s="51"/>
      <c r="M113" s="51"/>
      <c r="S113" s="51"/>
      <c r="T113" s="51"/>
      <c r="Z113" s="51"/>
      <c r="AA113" s="51"/>
      <c r="AG113" s="51"/>
      <c r="AH113" s="51"/>
      <c r="AN113" s="51"/>
      <c r="AO113" s="51"/>
      <c r="AU113" s="51"/>
      <c r="AV113" s="51"/>
      <c r="BB113" s="51"/>
      <c r="BC113" s="51"/>
      <c r="BI113" s="51"/>
      <c r="BJ113" s="51"/>
      <c r="BP113" s="51"/>
      <c r="BQ113" s="51"/>
      <c r="BW113" s="51"/>
      <c r="BX113" s="51"/>
      <c r="CD113" s="51"/>
      <c r="CE113" s="51"/>
      <c r="CK113" s="51"/>
      <c r="CL113" s="51"/>
      <c r="CR113" s="51"/>
      <c r="CS113" s="51"/>
      <c r="CY113" s="51"/>
      <c r="CZ113" s="51"/>
      <c r="DF113" s="51"/>
      <c r="DG113" s="51"/>
      <c r="DM113" s="51"/>
      <c r="DN113" s="51"/>
      <c r="DT113" s="51"/>
      <c r="DU113" s="51"/>
      <c r="EA113" s="51"/>
      <c r="EB113" s="51"/>
      <c r="EH113" s="51"/>
      <c r="EI113" s="51"/>
      <c r="EO113" s="51"/>
      <c r="EP113" s="51"/>
      <c r="EV113" s="51"/>
      <c r="EW113" s="51"/>
      <c r="FC113" s="51"/>
      <c r="FD113" s="51"/>
      <c r="FJ113" s="51"/>
      <c r="FK113" s="51"/>
      <c r="FQ113" s="51"/>
      <c r="FR113" s="51"/>
      <c r="FX113" s="51"/>
      <c r="FY113" s="51"/>
      <c r="GE113" s="51"/>
      <c r="GF113" s="51"/>
      <c r="GL113" s="51"/>
      <c r="GM113" s="51"/>
      <c r="GS113" s="51"/>
      <c r="GT113" s="51"/>
      <c r="GZ113" s="51"/>
      <c r="HA113" s="51"/>
      <c r="HG113" s="51"/>
      <c r="HH113" s="51"/>
      <c r="HN113" s="51"/>
      <c r="HO113" s="51"/>
    </row>
    <row r="114" customFormat="false" ht="15" hidden="false" customHeight="false" outlineLevel="0" collapsed="false">
      <c r="A114" s="0" t="str">
        <f aca="false">'Schedule Engine'!B113</f>
        <v>IW12</v>
      </c>
      <c r="B114" s="0" t="str">
        <f aca="false">'Schedule Engine'!E113</f>
        <v>HVAC Rough</v>
      </c>
      <c r="C114" s="0" t="str">
        <f aca="false">'Schedule Engine'!F113</f>
        <v>Adco</v>
      </c>
      <c r="D114" s="0" t="n">
        <f aca="false">'Schedule Engine'!G113</f>
        <v>0</v>
      </c>
      <c r="E114" s="34" t="n">
        <f aca="false">'Schedule Engine'!N113</f>
        <v>46255</v>
      </c>
      <c r="F114" s="34" t="n">
        <f aca="false">'Schedule Engine'!O113</f>
        <v>46261</v>
      </c>
      <c r="G114" s="0" t="n">
        <f aca="false">'Schedule Engine'!K113</f>
        <v>5</v>
      </c>
      <c r="H114" s="0" t="n">
        <f aca="false">'Schedule Engine'!P113</f>
        <v>0</v>
      </c>
      <c r="L114" s="51"/>
      <c r="M114" s="51"/>
      <c r="S114" s="51"/>
      <c r="T114" s="51"/>
      <c r="Z114" s="51"/>
      <c r="AA114" s="51"/>
      <c r="AG114" s="51"/>
      <c r="AH114" s="51"/>
      <c r="AN114" s="51"/>
      <c r="AO114" s="51"/>
      <c r="AU114" s="51"/>
      <c r="AV114" s="51"/>
      <c r="BB114" s="51"/>
      <c r="BC114" s="51"/>
      <c r="BI114" s="51"/>
      <c r="BJ114" s="51"/>
      <c r="BP114" s="51"/>
      <c r="BQ114" s="51"/>
      <c r="BW114" s="51"/>
      <c r="BX114" s="51"/>
      <c r="CD114" s="51"/>
      <c r="CE114" s="51"/>
      <c r="CK114" s="51"/>
      <c r="CL114" s="51"/>
      <c r="CR114" s="51"/>
      <c r="CS114" s="51"/>
      <c r="CY114" s="51"/>
      <c r="CZ114" s="51"/>
      <c r="DF114" s="51"/>
      <c r="DG114" s="51"/>
      <c r="DM114" s="51"/>
      <c r="DN114" s="51"/>
      <c r="DT114" s="51"/>
      <c r="DU114" s="51"/>
      <c r="EA114" s="51"/>
      <c r="EB114" s="51"/>
      <c r="EH114" s="51"/>
      <c r="EI114" s="51"/>
      <c r="EO114" s="51"/>
      <c r="EP114" s="51"/>
      <c r="EV114" s="51"/>
      <c r="EW114" s="51"/>
      <c r="FC114" s="51"/>
      <c r="FD114" s="51"/>
      <c r="FJ114" s="51"/>
      <c r="FK114" s="51"/>
      <c r="FQ114" s="51"/>
      <c r="FR114" s="51"/>
      <c r="FX114" s="51"/>
      <c r="FY114" s="51"/>
      <c r="GE114" s="51"/>
      <c r="GF114" s="51"/>
      <c r="GL114" s="51"/>
      <c r="GM114" s="51"/>
      <c r="GS114" s="51"/>
      <c r="GT114" s="51"/>
      <c r="GZ114" s="51"/>
      <c r="HA114" s="51"/>
      <c r="HG114" s="51"/>
      <c r="HH114" s="51"/>
      <c r="HN114" s="51"/>
      <c r="HO114" s="51"/>
    </row>
    <row r="115" customFormat="false" ht="15" hidden="false" customHeight="false" outlineLevel="0" collapsed="false">
      <c r="A115" s="0" t="str">
        <f aca="false">'Schedule Engine'!B114</f>
        <v>IW12</v>
      </c>
      <c r="B115" s="0" t="str">
        <f aca="false">'Schedule Engine'!E114</f>
        <v>Plumbing Rough</v>
      </c>
      <c r="C115" s="0" t="str">
        <f aca="false">'Schedule Engine'!F114</f>
        <v>Hays</v>
      </c>
      <c r="D115" s="0" t="str">
        <f aca="false">'Schedule Engine'!G114</f>
        <v>Hays</v>
      </c>
      <c r="E115" s="34" t="n">
        <f aca="false">'Schedule Engine'!N114</f>
        <v>46255</v>
      </c>
      <c r="F115" s="34" t="n">
        <f aca="false">'Schedule Engine'!O114</f>
        <v>46261</v>
      </c>
      <c r="G115" s="0" t="n">
        <f aca="false">'Schedule Engine'!K114</f>
        <v>5</v>
      </c>
      <c r="H115" s="0" t="n">
        <f aca="false">'Schedule Engine'!P114</f>
        <v>0</v>
      </c>
      <c r="L115" s="51"/>
      <c r="M115" s="51"/>
      <c r="S115" s="51"/>
      <c r="T115" s="51"/>
      <c r="Z115" s="51"/>
      <c r="AA115" s="51"/>
      <c r="AG115" s="51"/>
      <c r="AH115" s="51"/>
      <c r="AN115" s="51"/>
      <c r="AO115" s="51"/>
      <c r="AU115" s="51"/>
      <c r="AV115" s="51"/>
      <c r="BB115" s="51"/>
      <c r="BC115" s="51"/>
      <c r="BI115" s="51"/>
      <c r="BJ115" s="51"/>
      <c r="BP115" s="51"/>
      <c r="BQ115" s="51"/>
      <c r="BW115" s="51"/>
      <c r="BX115" s="51"/>
      <c r="CD115" s="51"/>
      <c r="CE115" s="51"/>
      <c r="CK115" s="51"/>
      <c r="CL115" s="51"/>
      <c r="CR115" s="51"/>
      <c r="CS115" s="51"/>
      <c r="CY115" s="51"/>
      <c r="CZ115" s="51"/>
      <c r="DF115" s="51"/>
      <c r="DG115" s="51"/>
      <c r="DM115" s="51"/>
      <c r="DN115" s="51"/>
      <c r="DT115" s="51"/>
      <c r="DU115" s="51"/>
      <c r="EA115" s="51"/>
      <c r="EB115" s="51"/>
      <c r="EH115" s="51"/>
      <c r="EI115" s="51"/>
      <c r="EO115" s="51"/>
      <c r="EP115" s="51"/>
      <c r="EV115" s="51"/>
      <c r="EW115" s="51"/>
      <c r="FC115" s="51"/>
      <c r="FD115" s="51"/>
      <c r="FJ115" s="51"/>
      <c r="FK115" s="51"/>
      <c r="FQ115" s="51"/>
      <c r="FR115" s="51"/>
      <c r="FX115" s="51"/>
      <c r="FY115" s="51"/>
      <c r="GE115" s="51"/>
      <c r="GF115" s="51"/>
      <c r="GL115" s="51"/>
      <c r="GM115" s="51"/>
      <c r="GS115" s="51"/>
      <c r="GT115" s="51"/>
      <c r="GZ115" s="51"/>
      <c r="HA115" s="51"/>
      <c r="HG115" s="51"/>
      <c r="HH115" s="51"/>
      <c r="HN115" s="51"/>
      <c r="HO115" s="51"/>
    </row>
    <row r="116" customFormat="false" ht="15" hidden="false" customHeight="false" outlineLevel="0" collapsed="false">
      <c r="A116" s="0" t="str">
        <f aca="false">'Schedule Engine'!B115</f>
        <v>IW12</v>
      </c>
      <c r="B116" s="0" t="str">
        <f aca="false">'Schedule Engine'!E115</f>
        <v>Electrical Rough</v>
      </c>
      <c r="C116" s="0" t="str">
        <f aca="false">'Schedule Engine'!F115</f>
        <v>Dave Kaler</v>
      </c>
      <c r="D116" s="0" t="n">
        <f aca="false">'Schedule Engine'!G115</f>
        <v>0</v>
      </c>
      <c r="E116" s="34" t="n">
        <f aca="false">'Schedule Engine'!N115</f>
        <v>46255</v>
      </c>
      <c r="F116" s="34" t="n">
        <f aca="false">'Schedule Engine'!O115</f>
        <v>46268</v>
      </c>
      <c r="G116" s="0" t="n">
        <f aca="false">'Schedule Engine'!K115</f>
        <v>10</v>
      </c>
      <c r="H116" s="0" t="n">
        <f aca="false">'Schedule Engine'!P115</f>
        <v>0</v>
      </c>
      <c r="L116" s="51"/>
      <c r="M116" s="51"/>
      <c r="S116" s="51"/>
      <c r="T116" s="51"/>
      <c r="Z116" s="51"/>
      <c r="AA116" s="51"/>
      <c r="AG116" s="51"/>
      <c r="AH116" s="51"/>
      <c r="AN116" s="51"/>
      <c r="AO116" s="51"/>
      <c r="AU116" s="51"/>
      <c r="AV116" s="51"/>
      <c r="BB116" s="51"/>
      <c r="BC116" s="51"/>
      <c r="BI116" s="51"/>
      <c r="BJ116" s="51"/>
      <c r="BP116" s="51"/>
      <c r="BQ116" s="51"/>
      <c r="BW116" s="51"/>
      <c r="BX116" s="51"/>
      <c r="CD116" s="51"/>
      <c r="CE116" s="51"/>
      <c r="CK116" s="51"/>
      <c r="CL116" s="51"/>
      <c r="CR116" s="51"/>
      <c r="CS116" s="51"/>
      <c r="CY116" s="51"/>
      <c r="CZ116" s="51"/>
      <c r="DF116" s="51"/>
      <c r="DG116" s="51"/>
      <c r="DM116" s="51"/>
      <c r="DN116" s="51"/>
      <c r="DT116" s="51"/>
      <c r="DU116" s="51"/>
      <c r="EA116" s="51"/>
      <c r="EB116" s="51"/>
      <c r="EH116" s="51"/>
      <c r="EI116" s="51"/>
      <c r="EO116" s="51"/>
      <c r="EP116" s="51"/>
      <c r="EV116" s="51"/>
      <c r="EW116" s="51"/>
      <c r="FC116" s="51"/>
      <c r="FD116" s="51"/>
      <c r="FJ116" s="51"/>
      <c r="FK116" s="51"/>
      <c r="FQ116" s="51"/>
      <c r="FR116" s="51"/>
      <c r="FX116" s="51"/>
      <c r="FY116" s="51"/>
      <c r="GE116" s="51"/>
      <c r="GF116" s="51"/>
      <c r="GL116" s="51"/>
      <c r="GM116" s="51"/>
      <c r="GS116" s="51"/>
      <c r="GT116" s="51"/>
      <c r="GZ116" s="51"/>
      <c r="HA116" s="51"/>
      <c r="HG116" s="51"/>
      <c r="HH116" s="51"/>
      <c r="HN116" s="51"/>
      <c r="HO116" s="51"/>
    </row>
    <row r="117" customFormat="false" ht="15" hidden="false" customHeight="false" outlineLevel="0" collapsed="false">
      <c r="A117" s="0" t="str">
        <f aca="false">'Schedule Engine'!B116</f>
        <v>IW12</v>
      </c>
      <c r="B117" s="0" t="str">
        <f aca="false">'Schedule Engine'!E116</f>
        <v>Insulation Walls</v>
      </c>
      <c r="C117" s="0" t="str">
        <f aca="false">'Schedule Engine'!F116</f>
        <v>Tyler Champion</v>
      </c>
      <c r="D117" s="0" t="n">
        <f aca="false">'Schedule Engine'!G116</f>
        <v>0</v>
      </c>
      <c r="E117" s="34" t="n">
        <f aca="false">'Schedule Engine'!N116</f>
        <v>46269</v>
      </c>
      <c r="F117" s="34" t="n">
        <f aca="false">'Schedule Engine'!O116</f>
        <v>46272</v>
      </c>
      <c r="G117" s="0" t="n">
        <f aca="false">'Schedule Engine'!K116</f>
        <v>2</v>
      </c>
      <c r="H117" s="0" t="n">
        <f aca="false">'Schedule Engine'!P116</f>
        <v>0</v>
      </c>
      <c r="L117" s="51"/>
      <c r="M117" s="51"/>
      <c r="S117" s="51"/>
      <c r="T117" s="51"/>
      <c r="Z117" s="51"/>
      <c r="AA117" s="51"/>
      <c r="AG117" s="51"/>
      <c r="AH117" s="51"/>
      <c r="AN117" s="51"/>
      <c r="AO117" s="51"/>
      <c r="AU117" s="51"/>
      <c r="AV117" s="51"/>
      <c r="BB117" s="51"/>
      <c r="BC117" s="51"/>
      <c r="BI117" s="51"/>
      <c r="BJ117" s="51"/>
      <c r="BP117" s="51"/>
      <c r="BQ117" s="51"/>
      <c r="BW117" s="51"/>
      <c r="BX117" s="51"/>
      <c r="CD117" s="51"/>
      <c r="CE117" s="51"/>
      <c r="CK117" s="51"/>
      <c r="CL117" s="51"/>
      <c r="CR117" s="51"/>
      <c r="CS117" s="51"/>
      <c r="CY117" s="51"/>
      <c r="CZ117" s="51"/>
      <c r="DF117" s="51"/>
      <c r="DG117" s="51"/>
      <c r="DM117" s="51"/>
      <c r="DN117" s="51"/>
      <c r="DT117" s="51"/>
      <c r="DU117" s="51"/>
      <c r="EA117" s="51"/>
      <c r="EB117" s="51"/>
      <c r="EH117" s="51"/>
      <c r="EI117" s="51"/>
      <c r="EO117" s="51"/>
      <c r="EP117" s="51"/>
      <c r="EV117" s="51"/>
      <c r="EW117" s="51"/>
      <c r="FC117" s="51"/>
      <c r="FD117" s="51"/>
      <c r="FJ117" s="51"/>
      <c r="FK117" s="51"/>
      <c r="FQ117" s="51"/>
      <c r="FR117" s="51"/>
      <c r="FX117" s="51"/>
      <c r="FY117" s="51"/>
      <c r="GE117" s="51"/>
      <c r="GF117" s="51"/>
      <c r="GL117" s="51"/>
      <c r="GM117" s="51"/>
      <c r="GS117" s="51"/>
      <c r="GT117" s="51"/>
      <c r="GZ117" s="51"/>
      <c r="HA117" s="51"/>
      <c r="HG117" s="51"/>
      <c r="HH117" s="51"/>
      <c r="HN117" s="51"/>
      <c r="HO117" s="51"/>
    </row>
    <row r="118" customFormat="false" ht="15" hidden="false" customHeight="false" outlineLevel="0" collapsed="false">
      <c r="A118" s="0" t="str">
        <f aca="false">'Schedule Engine'!B117</f>
        <v>IW12</v>
      </c>
      <c r="B118" s="0" t="str">
        <f aca="false">'Schedule Engine'!E117</f>
        <v>Sheetrock</v>
      </c>
      <c r="C118" s="0" t="str">
        <f aca="false">'Schedule Engine'!F117</f>
        <v>Bernall Constr.</v>
      </c>
      <c r="D118" s="0" t="n">
        <f aca="false">'Schedule Engine'!G117</f>
        <v>0</v>
      </c>
      <c r="E118" s="34" t="n">
        <f aca="false">'Schedule Engine'!N117</f>
        <v>46273</v>
      </c>
      <c r="F118" s="34" t="n">
        <f aca="false">'Schedule Engine'!O117</f>
        <v>46293</v>
      </c>
      <c r="G118" s="0" t="n">
        <f aca="false">'Schedule Engine'!K117</f>
        <v>15</v>
      </c>
      <c r="H118" s="0" t="n">
        <f aca="false">'Schedule Engine'!P117</f>
        <v>0</v>
      </c>
      <c r="L118" s="51"/>
      <c r="M118" s="51"/>
      <c r="S118" s="51"/>
      <c r="T118" s="51"/>
      <c r="Z118" s="51"/>
      <c r="AA118" s="51"/>
      <c r="AG118" s="51"/>
      <c r="AH118" s="51"/>
      <c r="AN118" s="51"/>
      <c r="AO118" s="51"/>
      <c r="AU118" s="51"/>
      <c r="AV118" s="51"/>
      <c r="BB118" s="51"/>
      <c r="BC118" s="51"/>
      <c r="BI118" s="51"/>
      <c r="BJ118" s="51"/>
      <c r="BP118" s="51"/>
      <c r="BQ118" s="51"/>
      <c r="BW118" s="51"/>
      <c r="BX118" s="51"/>
      <c r="CD118" s="51"/>
      <c r="CE118" s="51"/>
      <c r="CK118" s="51"/>
      <c r="CL118" s="51"/>
      <c r="CR118" s="51"/>
      <c r="CS118" s="51"/>
      <c r="CY118" s="51"/>
      <c r="CZ118" s="51"/>
      <c r="DF118" s="51"/>
      <c r="DG118" s="51"/>
      <c r="DM118" s="51"/>
      <c r="DN118" s="51"/>
      <c r="DT118" s="51"/>
      <c r="DU118" s="51"/>
      <c r="EA118" s="51"/>
      <c r="EB118" s="51"/>
      <c r="EH118" s="51"/>
      <c r="EI118" s="51"/>
      <c r="EO118" s="51"/>
      <c r="EP118" s="51"/>
      <c r="EV118" s="51"/>
      <c r="EW118" s="51"/>
      <c r="FC118" s="51"/>
      <c r="FD118" s="51"/>
      <c r="FJ118" s="51"/>
      <c r="FK118" s="51"/>
      <c r="FQ118" s="51"/>
      <c r="FR118" s="51"/>
      <c r="FX118" s="51"/>
      <c r="FY118" s="51"/>
      <c r="GE118" s="51"/>
      <c r="GF118" s="51"/>
      <c r="GL118" s="51"/>
      <c r="GM118" s="51"/>
      <c r="GS118" s="51"/>
      <c r="GT118" s="51"/>
      <c r="GZ118" s="51"/>
      <c r="HA118" s="51"/>
      <c r="HG118" s="51"/>
      <c r="HH118" s="51"/>
      <c r="HN118" s="51"/>
      <c r="HO118" s="51"/>
    </row>
    <row r="119" customFormat="false" ht="15" hidden="false" customHeight="false" outlineLevel="0" collapsed="false">
      <c r="A119" s="0" t="str">
        <f aca="false">'Schedule Engine'!B118</f>
        <v>IW12</v>
      </c>
      <c r="B119" s="0" t="str">
        <f aca="false">'Schedule Engine'!E118</f>
        <v>Painting Primer</v>
      </c>
      <c r="C119" s="0" t="str">
        <f aca="false">'Schedule Engine'!F118</f>
        <v>L&amp;L Painting</v>
      </c>
      <c r="D119" s="0" t="n">
        <f aca="false">'Schedule Engine'!G118</f>
        <v>0</v>
      </c>
      <c r="E119" s="34" t="n">
        <f aca="false">'Schedule Engine'!N118</f>
        <v>46294</v>
      </c>
      <c r="F119" s="34" t="n">
        <f aca="false">'Schedule Engine'!O118</f>
        <v>46296</v>
      </c>
      <c r="G119" s="0" t="n">
        <f aca="false">'Schedule Engine'!K118</f>
        <v>3</v>
      </c>
      <c r="H119" s="0" t="n">
        <f aca="false">'Schedule Engine'!P118</f>
        <v>0</v>
      </c>
      <c r="L119" s="51"/>
      <c r="M119" s="51"/>
      <c r="S119" s="51"/>
      <c r="T119" s="51"/>
      <c r="Z119" s="51"/>
      <c r="AA119" s="51"/>
      <c r="AG119" s="51"/>
      <c r="AH119" s="51"/>
      <c r="AN119" s="51"/>
      <c r="AO119" s="51"/>
      <c r="AU119" s="51"/>
      <c r="AV119" s="51"/>
      <c r="BB119" s="51"/>
      <c r="BC119" s="51"/>
      <c r="BI119" s="51"/>
      <c r="BJ119" s="51"/>
      <c r="BP119" s="51"/>
      <c r="BQ119" s="51"/>
      <c r="BW119" s="51"/>
      <c r="BX119" s="51"/>
      <c r="CD119" s="51"/>
      <c r="CE119" s="51"/>
      <c r="CK119" s="51"/>
      <c r="CL119" s="51"/>
      <c r="CR119" s="51"/>
      <c r="CS119" s="51"/>
      <c r="CY119" s="51"/>
      <c r="CZ119" s="51"/>
      <c r="DF119" s="51"/>
      <c r="DG119" s="51"/>
      <c r="DM119" s="51"/>
      <c r="DN119" s="51"/>
      <c r="DT119" s="51"/>
      <c r="DU119" s="51"/>
      <c r="EA119" s="51"/>
      <c r="EB119" s="51"/>
      <c r="EH119" s="51"/>
      <c r="EI119" s="51"/>
      <c r="EO119" s="51"/>
      <c r="EP119" s="51"/>
      <c r="EV119" s="51"/>
      <c r="EW119" s="51"/>
      <c r="FC119" s="51"/>
      <c r="FD119" s="51"/>
      <c r="FJ119" s="51"/>
      <c r="FK119" s="51"/>
      <c r="FQ119" s="51"/>
      <c r="FR119" s="51"/>
      <c r="FX119" s="51"/>
      <c r="FY119" s="51"/>
      <c r="GE119" s="51"/>
      <c r="GF119" s="51"/>
      <c r="GL119" s="51"/>
      <c r="GM119" s="51"/>
      <c r="GS119" s="51"/>
      <c r="GT119" s="51"/>
      <c r="GZ119" s="51"/>
      <c r="HA119" s="51"/>
      <c r="HG119" s="51"/>
      <c r="HH119" s="51"/>
      <c r="HN119" s="51"/>
      <c r="HO119" s="51"/>
    </row>
    <row r="120" customFormat="false" ht="15" hidden="false" customHeight="false" outlineLevel="0" collapsed="false">
      <c r="A120" s="0" t="str">
        <f aca="false">'Schedule Engine'!B119</f>
        <v>IW12</v>
      </c>
      <c r="B120" s="0" t="str">
        <f aca="false">'Schedule Engine'!E119</f>
        <v>Garage Doors</v>
      </c>
      <c r="C120" s="0" t="str">
        <f aca="false">'Schedule Engine'!F119</f>
        <v>Danny Liedecher</v>
      </c>
      <c r="D120" s="0" t="n">
        <f aca="false">'Schedule Engine'!G119</f>
        <v>0</v>
      </c>
      <c r="E120" s="34" t="n">
        <f aca="false">'Schedule Engine'!N119</f>
        <v>46297</v>
      </c>
      <c r="F120" s="34" t="n">
        <f aca="false">'Schedule Engine'!O119</f>
        <v>46300</v>
      </c>
      <c r="G120" s="0" t="n">
        <f aca="false">'Schedule Engine'!K119</f>
        <v>2</v>
      </c>
      <c r="H120" s="0" t="n">
        <f aca="false">'Schedule Engine'!P119</f>
        <v>0</v>
      </c>
      <c r="L120" s="51"/>
      <c r="M120" s="51"/>
      <c r="S120" s="51"/>
      <c r="T120" s="51"/>
      <c r="Z120" s="51"/>
      <c r="AA120" s="51"/>
      <c r="AG120" s="51"/>
      <c r="AH120" s="51"/>
      <c r="AN120" s="51"/>
      <c r="AO120" s="51"/>
      <c r="AU120" s="51"/>
      <c r="AV120" s="51"/>
      <c r="BB120" s="51"/>
      <c r="BC120" s="51"/>
      <c r="BI120" s="51"/>
      <c r="BJ120" s="51"/>
      <c r="BP120" s="51"/>
      <c r="BQ120" s="51"/>
      <c r="BW120" s="51"/>
      <c r="BX120" s="51"/>
      <c r="CD120" s="51"/>
      <c r="CE120" s="51"/>
      <c r="CK120" s="51"/>
      <c r="CL120" s="51"/>
      <c r="CR120" s="51"/>
      <c r="CS120" s="51"/>
      <c r="CY120" s="51"/>
      <c r="CZ120" s="51"/>
      <c r="DF120" s="51"/>
      <c r="DG120" s="51"/>
      <c r="DM120" s="51"/>
      <c r="DN120" s="51"/>
      <c r="DT120" s="51"/>
      <c r="DU120" s="51"/>
      <c r="EA120" s="51"/>
      <c r="EB120" s="51"/>
      <c r="EH120" s="51"/>
      <c r="EI120" s="51"/>
      <c r="EO120" s="51"/>
      <c r="EP120" s="51"/>
      <c r="EV120" s="51"/>
      <c r="EW120" s="51"/>
      <c r="FC120" s="51"/>
      <c r="FD120" s="51"/>
      <c r="FJ120" s="51"/>
      <c r="FK120" s="51"/>
      <c r="FQ120" s="51"/>
      <c r="FR120" s="51"/>
      <c r="FX120" s="51"/>
      <c r="FY120" s="51"/>
      <c r="GE120" s="51"/>
      <c r="GF120" s="51"/>
      <c r="GL120" s="51"/>
      <c r="GM120" s="51"/>
      <c r="GS120" s="51"/>
      <c r="GT120" s="51"/>
      <c r="GZ120" s="51"/>
      <c r="HA120" s="51"/>
      <c r="HG120" s="51"/>
      <c r="HH120" s="51"/>
      <c r="HN120" s="51"/>
      <c r="HO120" s="51"/>
    </row>
    <row r="121" customFormat="false" ht="15" hidden="false" customHeight="false" outlineLevel="0" collapsed="false">
      <c r="A121" s="0" t="str">
        <f aca="false">'Schedule Engine'!B120</f>
        <v>IW12</v>
      </c>
      <c r="B121" s="0" t="str">
        <f aca="false">'Schedule Engine'!E120</f>
        <v>Flooring</v>
      </c>
      <c r="C121" s="0" t="str">
        <f aca="false">'Schedule Engine'!F120</f>
        <v>LW Contracting</v>
      </c>
      <c r="D121" s="0" t="n">
        <f aca="false">'Schedule Engine'!G120</f>
        <v>0</v>
      </c>
      <c r="E121" s="34" t="n">
        <f aca="false">'Schedule Engine'!N120</f>
        <v>46297</v>
      </c>
      <c r="F121" s="34" t="n">
        <f aca="false">'Schedule Engine'!O120</f>
        <v>46303</v>
      </c>
      <c r="G121" s="0" t="n">
        <f aca="false">'Schedule Engine'!K120</f>
        <v>5</v>
      </c>
      <c r="H121" s="0" t="n">
        <f aca="false">'Schedule Engine'!P120</f>
        <v>0</v>
      </c>
      <c r="L121" s="51"/>
      <c r="M121" s="51"/>
      <c r="S121" s="51"/>
      <c r="T121" s="51"/>
      <c r="Z121" s="51"/>
      <c r="AA121" s="51"/>
      <c r="AG121" s="51"/>
      <c r="AH121" s="51"/>
      <c r="AN121" s="51"/>
      <c r="AO121" s="51"/>
      <c r="AU121" s="51"/>
      <c r="AV121" s="51"/>
      <c r="BB121" s="51"/>
      <c r="BC121" s="51"/>
      <c r="BI121" s="51"/>
      <c r="BJ121" s="51"/>
      <c r="BP121" s="51"/>
      <c r="BQ121" s="51"/>
      <c r="BW121" s="51"/>
      <c r="BX121" s="51"/>
      <c r="CD121" s="51"/>
      <c r="CE121" s="51"/>
      <c r="CK121" s="51"/>
      <c r="CL121" s="51"/>
      <c r="CR121" s="51"/>
      <c r="CS121" s="51"/>
      <c r="CY121" s="51"/>
      <c r="CZ121" s="51"/>
      <c r="DF121" s="51"/>
      <c r="DG121" s="51"/>
      <c r="DM121" s="51"/>
      <c r="DN121" s="51"/>
      <c r="DT121" s="51"/>
      <c r="DU121" s="51"/>
      <c r="EA121" s="51"/>
      <c r="EB121" s="51"/>
      <c r="EH121" s="51"/>
      <c r="EI121" s="51"/>
      <c r="EO121" s="51"/>
      <c r="EP121" s="51"/>
      <c r="EV121" s="51"/>
      <c r="EW121" s="51"/>
      <c r="FC121" s="51"/>
      <c r="FD121" s="51"/>
      <c r="FJ121" s="51"/>
      <c r="FK121" s="51"/>
      <c r="FQ121" s="51"/>
      <c r="FR121" s="51"/>
      <c r="FX121" s="51"/>
      <c r="FY121" s="51"/>
      <c r="GE121" s="51"/>
      <c r="GF121" s="51"/>
      <c r="GL121" s="51"/>
      <c r="GM121" s="51"/>
      <c r="GS121" s="51"/>
      <c r="GT121" s="51"/>
      <c r="GZ121" s="51"/>
      <c r="HA121" s="51"/>
      <c r="HG121" s="51"/>
      <c r="HH121" s="51"/>
      <c r="HN121" s="51"/>
      <c r="HO121" s="51"/>
    </row>
    <row r="122" customFormat="false" ht="15" hidden="false" customHeight="false" outlineLevel="0" collapsed="false">
      <c r="A122" s="0" t="str">
        <f aca="false">'Schedule Engine'!B121</f>
        <v>IW12</v>
      </c>
      <c r="B122" s="0" t="str">
        <f aca="false">'Schedule Engine'!E121</f>
        <v>Tile Work</v>
      </c>
      <c r="C122" s="0" t="str">
        <f aca="false">'Schedule Engine'!F121</f>
        <v>LW Contracting</v>
      </c>
      <c r="D122" s="0" t="n">
        <f aca="false">'Schedule Engine'!G121</f>
        <v>0</v>
      </c>
      <c r="E122" s="34" t="n">
        <f aca="false">'Schedule Engine'!N121</f>
        <v>46297</v>
      </c>
      <c r="F122" s="34" t="n">
        <f aca="false">'Schedule Engine'!O121</f>
        <v>46308</v>
      </c>
      <c r="G122" s="0" t="n">
        <f aca="false">'Schedule Engine'!K121</f>
        <v>8</v>
      </c>
      <c r="H122" s="0" t="n">
        <f aca="false">'Schedule Engine'!P121</f>
        <v>0</v>
      </c>
      <c r="L122" s="51"/>
      <c r="M122" s="51"/>
      <c r="S122" s="51"/>
      <c r="T122" s="51"/>
      <c r="Z122" s="51"/>
      <c r="AA122" s="51"/>
      <c r="AG122" s="51"/>
      <c r="AH122" s="51"/>
      <c r="AN122" s="51"/>
      <c r="AO122" s="51"/>
      <c r="AU122" s="51"/>
      <c r="AV122" s="51"/>
      <c r="BB122" s="51"/>
      <c r="BC122" s="51"/>
      <c r="BI122" s="51"/>
      <c r="BJ122" s="51"/>
      <c r="BP122" s="51"/>
      <c r="BQ122" s="51"/>
      <c r="BW122" s="51"/>
      <c r="BX122" s="51"/>
      <c r="CD122" s="51"/>
      <c r="CE122" s="51"/>
      <c r="CK122" s="51"/>
      <c r="CL122" s="51"/>
      <c r="CR122" s="51"/>
      <c r="CS122" s="51"/>
      <c r="CY122" s="51"/>
      <c r="CZ122" s="51"/>
      <c r="DF122" s="51"/>
      <c r="DG122" s="51"/>
      <c r="DM122" s="51"/>
      <c r="DN122" s="51"/>
      <c r="DT122" s="51"/>
      <c r="DU122" s="51"/>
      <c r="EA122" s="51"/>
      <c r="EB122" s="51"/>
      <c r="EH122" s="51"/>
      <c r="EI122" s="51"/>
      <c r="EO122" s="51"/>
      <c r="EP122" s="51"/>
      <c r="EV122" s="51"/>
      <c r="EW122" s="51"/>
      <c r="FC122" s="51"/>
      <c r="FD122" s="51"/>
      <c r="FJ122" s="51"/>
      <c r="FK122" s="51"/>
      <c r="FQ122" s="51"/>
      <c r="FR122" s="51"/>
      <c r="FX122" s="51"/>
      <c r="FY122" s="51"/>
      <c r="GE122" s="51"/>
      <c r="GF122" s="51"/>
      <c r="GL122" s="51"/>
      <c r="GM122" s="51"/>
      <c r="GS122" s="51"/>
      <c r="GT122" s="51"/>
      <c r="GZ122" s="51"/>
      <c r="HA122" s="51"/>
      <c r="HG122" s="51"/>
      <c r="HH122" s="51"/>
      <c r="HN122" s="51"/>
      <c r="HO122" s="51"/>
    </row>
    <row r="123" customFormat="false" ht="15" hidden="false" customHeight="false" outlineLevel="0" collapsed="false">
      <c r="A123" s="0" t="str">
        <f aca="false">'Schedule Engine'!B122</f>
        <v>IW12</v>
      </c>
      <c r="B123" s="0" t="str">
        <f aca="false">'Schedule Engine'!E122</f>
        <v>Trim Interior</v>
      </c>
      <c r="C123" s="0" t="str">
        <f aca="false">'Schedule Engine'!F122</f>
        <v>Matt Thorne</v>
      </c>
      <c r="D123" s="0" t="str">
        <f aca="false">'Schedule Engine'!G122</f>
        <v>Matt Thorne</v>
      </c>
      <c r="E123" s="34" t="n">
        <f aca="false">'Schedule Engine'!N122</f>
        <v>46304</v>
      </c>
      <c r="F123" s="34" t="n">
        <f aca="false">'Schedule Engine'!O122</f>
        <v>46331</v>
      </c>
      <c r="G123" s="0" t="n">
        <f aca="false">'Schedule Engine'!K122</f>
        <v>20</v>
      </c>
      <c r="H123" s="0" t="n">
        <f aca="false">'Schedule Engine'!P122</f>
        <v>0</v>
      </c>
      <c r="L123" s="51"/>
      <c r="M123" s="51"/>
      <c r="S123" s="51"/>
      <c r="T123" s="51"/>
      <c r="Z123" s="51"/>
      <c r="AA123" s="51"/>
      <c r="AG123" s="51"/>
      <c r="AH123" s="51"/>
      <c r="AN123" s="51"/>
      <c r="AO123" s="51"/>
      <c r="AU123" s="51"/>
      <c r="AV123" s="51"/>
      <c r="BB123" s="51"/>
      <c r="BC123" s="51"/>
      <c r="BI123" s="51"/>
      <c r="BJ123" s="51"/>
      <c r="BP123" s="51"/>
      <c r="BQ123" s="51"/>
      <c r="BW123" s="51"/>
      <c r="BX123" s="51"/>
      <c r="CD123" s="51"/>
      <c r="CE123" s="51"/>
      <c r="CK123" s="51"/>
      <c r="CL123" s="51"/>
      <c r="CR123" s="51"/>
      <c r="CS123" s="51"/>
      <c r="CY123" s="51"/>
      <c r="CZ123" s="51"/>
      <c r="DF123" s="51"/>
      <c r="DG123" s="51"/>
      <c r="DM123" s="51"/>
      <c r="DN123" s="51"/>
      <c r="DT123" s="51"/>
      <c r="DU123" s="51"/>
      <c r="EA123" s="51"/>
      <c r="EB123" s="51"/>
      <c r="EH123" s="51"/>
      <c r="EI123" s="51"/>
      <c r="EO123" s="51"/>
      <c r="EP123" s="51"/>
      <c r="EV123" s="51"/>
      <c r="EW123" s="51"/>
      <c r="FC123" s="51"/>
      <c r="FD123" s="51"/>
      <c r="FJ123" s="51"/>
      <c r="FK123" s="51"/>
      <c r="FQ123" s="51"/>
      <c r="FR123" s="51"/>
      <c r="FX123" s="51"/>
      <c r="FY123" s="51"/>
      <c r="GE123" s="51"/>
      <c r="GF123" s="51"/>
      <c r="GL123" s="51"/>
      <c r="GM123" s="51"/>
      <c r="GS123" s="51"/>
      <c r="GT123" s="51"/>
      <c r="GZ123" s="51"/>
      <c r="HA123" s="51"/>
      <c r="HG123" s="51"/>
      <c r="HH123" s="51"/>
      <c r="HN123" s="51"/>
      <c r="HO123" s="51"/>
    </row>
    <row r="124" customFormat="false" ht="15" hidden="false" customHeight="false" outlineLevel="0" collapsed="false">
      <c r="A124" s="0" t="str">
        <f aca="false">'Schedule Engine'!B123</f>
        <v>IW12</v>
      </c>
      <c r="B124" s="0" t="str">
        <f aca="false">'Schedule Engine'!E123</f>
        <v>Trim Exterior</v>
      </c>
      <c r="C124" s="0" t="str">
        <f aca="false">'Schedule Engine'!F123</f>
        <v>Matt Thorne</v>
      </c>
      <c r="D124" s="0" t="str">
        <f aca="false">'Schedule Engine'!G123</f>
        <v>Matt Thorne</v>
      </c>
      <c r="E124" s="34" t="n">
        <f aca="false">'Schedule Engine'!N123</f>
        <v>46289</v>
      </c>
      <c r="F124" s="34" t="n">
        <f aca="false">'Schedule Engine'!O123</f>
        <v>46290</v>
      </c>
      <c r="G124" s="0" t="n">
        <f aca="false">'Schedule Engine'!K123</f>
        <v>2</v>
      </c>
      <c r="H124" s="0" t="n">
        <f aca="false">'Schedule Engine'!P123</f>
        <v>0</v>
      </c>
      <c r="L124" s="51"/>
      <c r="M124" s="51"/>
      <c r="S124" s="51"/>
      <c r="T124" s="51"/>
      <c r="Z124" s="51"/>
      <c r="AA124" s="51"/>
      <c r="AG124" s="51"/>
      <c r="AH124" s="51"/>
      <c r="AN124" s="51"/>
      <c r="AO124" s="51"/>
      <c r="AU124" s="51"/>
      <c r="AV124" s="51"/>
      <c r="BB124" s="51"/>
      <c r="BC124" s="51"/>
      <c r="BI124" s="51"/>
      <c r="BJ124" s="51"/>
      <c r="BP124" s="51"/>
      <c r="BQ124" s="51"/>
      <c r="BW124" s="51"/>
      <c r="BX124" s="51"/>
      <c r="CD124" s="51"/>
      <c r="CE124" s="51"/>
      <c r="CK124" s="51"/>
      <c r="CL124" s="51"/>
      <c r="CR124" s="51"/>
      <c r="CS124" s="51"/>
      <c r="CY124" s="51"/>
      <c r="CZ124" s="51"/>
      <c r="DF124" s="51"/>
      <c r="DG124" s="51"/>
      <c r="DM124" s="51"/>
      <c r="DN124" s="51"/>
      <c r="DT124" s="51"/>
      <c r="DU124" s="51"/>
      <c r="EA124" s="51"/>
      <c r="EB124" s="51"/>
      <c r="EH124" s="51"/>
      <c r="EI124" s="51"/>
      <c r="EO124" s="51"/>
      <c r="EP124" s="51"/>
      <c r="EV124" s="51"/>
      <c r="EW124" s="51"/>
      <c r="FC124" s="51"/>
      <c r="FD124" s="51"/>
      <c r="FJ124" s="51"/>
      <c r="FK124" s="51"/>
      <c r="FQ124" s="51"/>
      <c r="FR124" s="51"/>
      <c r="FX124" s="51"/>
      <c r="FY124" s="51"/>
      <c r="GE124" s="51"/>
      <c r="GF124" s="51"/>
      <c r="GL124" s="51"/>
      <c r="GM124" s="51"/>
      <c r="GS124" s="51"/>
      <c r="GT124" s="51"/>
      <c r="GZ124" s="51"/>
      <c r="HA124" s="51"/>
      <c r="HG124" s="51"/>
      <c r="HH124" s="51"/>
      <c r="HN124" s="51"/>
      <c r="HO124" s="51"/>
    </row>
    <row r="125" customFormat="false" ht="15" hidden="false" customHeight="false" outlineLevel="0" collapsed="false">
      <c r="A125" s="0" t="str">
        <f aca="false">'Schedule Engine'!B124</f>
        <v>IW12</v>
      </c>
      <c r="B125" s="0" t="str">
        <f aca="false">'Schedule Engine'!E124</f>
        <v>Cabinets</v>
      </c>
      <c r="C125" s="0" t="str">
        <f aca="false">'Schedule Engine'!F124</f>
        <v>Whittmer</v>
      </c>
      <c r="D125" s="0" t="n">
        <f aca="false">'Schedule Engine'!G124</f>
        <v>0</v>
      </c>
      <c r="E125" s="34" t="n">
        <f aca="false">'Schedule Engine'!N124</f>
        <v>46304</v>
      </c>
      <c r="F125" s="34" t="n">
        <f aca="false">'Schedule Engine'!O124</f>
        <v>46308</v>
      </c>
      <c r="G125" s="0" t="n">
        <f aca="false">'Schedule Engine'!K124</f>
        <v>3</v>
      </c>
      <c r="H125" s="0" t="n">
        <f aca="false">'Schedule Engine'!P124</f>
        <v>0</v>
      </c>
      <c r="L125" s="51"/>
      <c r="M125" s="51"/>
      <c r="S125" s="51"/>
      <c r="T125" s="51"/>
      <c r="Z125" s="51"/>
      <c r="AA125" s="51"/>
      <c r="AG125" s="51"/>
      <c r="AH125" s="51"/>
      <c r="AN125" s="51"/>
      <c r="AO125" s="51"/>
      <c r="AU125" s="51"/>
      <c r="AV125" s="51"/>
      <c r="BB125" s="51"/>
      <c r="BC125" s="51"/>
      <c r="BI125" s="51"/>
      <c r="BJ125" s="51"/>
      <c r="BP125" s="51"/>
      <c r="BQ125" s="51"/>
      <c r="BW125" s="51"/>
      <c r="BX125" s="51"/>
      <c r="CD125" s="51"/>
      <c r="CE125" s="51"/>
      <c r="CK125" s="51"/>
      <c r="CL125" s="51"/>
      <c r="CR125" s="51"/>
      <c r="CS125" s="51"/>
      <c r="CY125" s="51"/>
      <c r="CZ125" s="51"/>
      <c r="DF125" s="51"/>
      <c r="DG125" s="51"/>
      <c r="DM125" s="51"/>
      <c r="DN125" s="51"/>
      <c r="DT125" s="51"/>
      <c r="DU125" s="51"/>
      <c r="EA125" s="51"/>
      <c r="EB125" s="51"/>
      <c r="EH125" s="51"/>
      <c r="EI125" s="51"/>
      <c r="EO125" s="51"/>
      <c r="EP125" s="51"/>
      <c r="EV125" s="51"/>
      <c r="EW125" s="51"/>
      <c r="FC125" s="51"/>
      <c r="FD125" s="51"/>
      <c r="FJ125" s="51"/>
      <c r="FK125" s="51"/>
      <c r="FQ125" s="51"/>
      <c r="FR125" s="51"/>
      <c r="FX125" s="51"/>
      <c r="FY125" s="51"/>
      <c r="GE125" s="51"/>
      <c r="GF125" s="51"/>
      <c r="GL125" s="51"/>
      <c r="GM125" s="51"/>
      <c r="GS125" s="51"/>
      <c r="GT125" s="51"/>
      <c r="GZ125" s="51"/>
      <c r="HA125" s="51"/>
      <c r="HG125" s="51"/>
      <c r="HH125" s="51"/>
      <c r="HN125" s="51"/>
      <c r="HO125" s="51"/>
    </row>
    <row r="126" customFormat="false" ht="15" hidden="false" customHeight="false" outlineLevel="0" collapsed="false">
      <c r="A126" s="0" t="str">
        <f aca="false">'Schedule Engine'!B125</f>
        <v>IW12</v>
      </c>
      <c r="B126" s="0" t="str">
        <f aca="false">'Schedule Engine'!E125</f>
        <v>Countertops</v>
      </c>
      <c r="C126" s="0" t="str">
        <f aca="false">'Schedule Engine'!F125</f>
        <v>Tate Granit</v>
      </c>
      <c r="D126" s="0" t="n">
        <f aca="false">'Schedule Engine'!G125</f>
        <v>0</v>
      </c>
      <c r="E126" s="34" t="n">
        <f aca="false">'Schedule Engine'!N125</f>
        <v>46309</v>
      </c>
      <c r="F126" s="34" t="n">
        <f aca="false">'Schedule Engine'!O125</f>
        <v>46310</v>
      </c>
      <c r="G126" s="0" t="n">
        <f aca="false">'Schedule Engine'!K125</f>
        <v>2</v>
      </c>
      <c r="H126" s="0" t="n">
        <f aca="false">'Schedule Engine'!P125</f>
        <v>0</v>
      </c>
      <c r="L126" s="51"/>
      <c r="M126" s="51"/>
      <c r="S126" s="51"/>
      <c r="T126" s="51"/>
      <c r="Z126" s="51"/>
      <c r="AA126" s="51"/>
      <c r="AG126" s="51"/>
      <c r="AH126" s="51"/>
      <c r="AN126" s="51"/>
      <c r="AO126" s="51"/>
      <c r="AU126" s="51"/>
      <c r="AV126" s="51"/>
      <c r="BB126" s="51"/>
      <c r="BC126" s="51"/>
      <c r="BI126" s="51"/>
      <c r="BJ126" s="51"/>
      <c r="BP126" s="51"/>
      <c r="BQ126" s="51"/>
      <c r="BW126" s="51"/>
      <c r="BX126" s="51"/>
      <c r="CD126" s="51"/>
      <c r="CE126" s="51"/>
      <c r="CK126" s="51"/>
      <c r="CL126" s="51"/>
      <c r="CR126" s="51"/>
      <c r="CS126" s="51"/>
      <c r="CY126" s="51"/>
      <c r="CZ126" s="51"/>
      <c r="DF126" s="51"/>
      <c r="DG126" s="51"/>
      <c r="DM126" s="51"/>
      <c r="DN126" s="51"/>
      <c r="DT126" s="51"/>
      <c r="DU126" s="51"/>
      <c r="EA126" s="51"/>
      <c r="EB126" s="51"/>
      <c r="EH126" s="51"/>
      <c r="EI126" s="51"/>
      <c r="EO126" s="51"/>
      <c r="EP126" s="51"/>
      <c r="EV126" s="51"/>
      <c r="EW126" s="51"/>
      <c r="FC126" s="51"/>
      <c r="FD126" s="51"/>
      <c r="FJ126" s="51"/>
      <c r="FK126" s="51"/>
      <c r="FQ126" s="51"/>
      <c r="FR126" s="51"/>
      <c r="FX126" s="51"/>
      <c r="FY126" s="51"/>
      <c r="GE126" s="51"/>
      <c r="GF126" s="51"/>
      <c r="GL126" s="51"/>
      <c r="GM126" s="51"/>
      <c r="GS126" s="51"/>
      <c r="GT126" s="51"/>
      <c r="GZ126" s="51"/>
      <c r="HA126" s="51"/>
      <c r="HG126" s="51"/>
      <c r="HH126" s="51"/>
      <c r="HN126" s="51"/>
      <c r="HO126" s="51"/>
    </row>
    <row r="127" customFormat="false" ht="15" hidden="false" customHeight="false" outlineLevel="0" collapsed="false">
      <c r="A127" s="0" t="str">
        <f aca="false">'Schedule Engine'!B126</f>
        <v>IW12</v>
      </c>
      <c r="B127" s="0" t="str">
        <f aca="false">'Schedule Engine'!E126</f>
        <v>Painting Main</v>
      </c>
      <c r="C127" s="0" t="str">
        <f aca="false">'Schedule Engine'!F126</f>
        <v>L&amp;L Painting</v>
      </c>
      <c r="D127" s="0" t="n">
        <f aca="false">'Schedule Engine'!G126</f>
        <v>0</v>
      </c>
      <c r="E127" s="34" t="n">
        <f aca="false">'Schedule Engine'!N126</f>
        <v>46311</v>
      </c>
      <c r="F127" s="34" t="n">
        <f aca="false">'Schedule Engine'!O126</f>
        <v>46324</v>
      </c>
      <c r="G127" s="0" t="n">
        <f aca="false">'Schedule Engine'!K126</f>
        <v>10</v>
      </c>
      <c r="H127" s="0" t="n">
        <f aca="false">'Schedule Engine'!P126</f>
        <v>0</v>
      </c>
      <c r="L127" s="51"/>
      <c r="M127" s="51"/>
      <c r="S127" s="51"/>
      <c r="T127" s="51"/>
      <c r="Z127" s="51"/>
      <c r="AA127" s="51"/>
      <c r="AG127" s="51"/>
      <c r="AH127" s="51"/>
      <c r="AN127" s="51"/>
      <c r="AO127" s="51"/>
      <c r="AU127" s="51"/>
      <c r="AV127" s="51"/>
      <c r="BB127" s="51"/>
      <c r="BC127" s="51"/>
      <c r="BI127" s="51"/>
      <c r="BJ127" s="51"/>
      <c r="BP127" s="51"/>
      <c r="BQ127" s="51"/>
      <c r="BW127" s="51"/>
      <c r="BX127" s="51"/>
      <c r="CD127" s="51"/>
      <c r="CE127" s="51"/>
      <c r="CK127" s="51"/>
      <c r="CL127" s="51"/>
      <c r="CR127" s="51"/>
      <c r="CS127" s="51"/>
      <c r="CY127" s="51"/>
      <c r="CZ127" s="51"/>
      <c r="DF127" s="51"/>
      <c r="DG127" s="51"/>
      <c r="DM127" s="51"/>
      <c r="DN127" s="51"/>
      <c r="DT127" s="51"/>
      <c r="DU127" s="51"/>
      <c r="EA127" s="51"/>
      <c r="EB127" s="51"/>
      <c r="EH127" s="51"/>
      <c r="EI127" s="51"/>
      <c r="EO127" s="51"/>
      <c r="EP127" s="51"/>
      <c r="EV127" s="51"/>
      <c r="EW127" s="51"/>
      <c r="FC127" s="51"/>
      <c r="FD127" s="51"/>
      <c r="FJ127" s="51"/>
      <c r="FK127" s="51"/>
      <c r="FQ127" s="51"/>
      <c r="FR127" s="51"/>
      <c r="FX127" s="51"/>
      <c r="FY127" s="51"/>
      <c r="GE127" s="51"/>
      <c r="GF127" s="51"/>
      <c r="GL127" s="51"/>
      <c r="GM127" s="51"/>
      <c r="GS127" s="51"/>
      <c r="GT127" s="51"/>
      <c r="GZ127" s="51"/>
      <c r="HA127" s="51"/>
      <c r="HG127" s="51"/>
      <c r="HH127" s="51"/>
      <c r="HN127" s="51"/>
      <c r="HO127" s="51"/>
    </row>
    <row r="128" customFormat="false" ht="15" hidden="false" customHeight="false" outlineLevel="0" collapsed="false">
      <c r="A128" s="0" t="str">
        <f aca="false">'Schedule Engine'!B127</f>
        <v>IW12</v>
      </c>
      <c r="B128" s="0" t="str">
        <f aca="false">'Schedule Engine'!E127</f>
        <v>Appliances</v>
      </c>
      <c r="C128" s="0" t="str">
        <f aca="false">'Schedule Engine'!F127</f>
        <v>Dave Kaler</v>
      </c>
      <c r="D128" s="0" t="n">
        <f aca="false">'Schedule Engine'!G127</f>
        <v>0</v>
      </c>
      <c r="E128" s="34" t="n">
        <f aca="false">'Schedule Engine'!N127</f>
        <v>46311</v>
      </c>
      <c r="F128" s="34" t="n">
        <f aca="false">'Schedule Engine'!O127</f>
        <v>46314</v>
      </c>
      <c r="G128" s="0" t="n">
        <f aca="false">'Schedule Engine'!K127</f>
        <v>2</v>
      </c>
      <c r="H128" s="0" t="n">
        <f aca="false">'Schedule Engine'!P127</f>
        <v>0</v>
      </c>
      <c r="L128" s="51"/>
      <c r="M128" s="51"/>
      <c r="S128" s="51"/>
      <c r="T128" s="51"/>
      <c r="Z128" s="51"/>
      <c r="AA128" s="51"/>
      <c r="AG128" s="51"/>
      <c r="AH128" s="51"/>
      <c r="AN128" s="51"/>
      <c r="AO128" s="51"/>
      <c r="AU128" s="51"/>
      <c r="AV128" s="51"/>
      <c r="BB128" s="51"/>
      <c r="BC128" s="51"/>
      <c r="BI128" s="51"/>
      <c r="BJ128" s="51"/>
      <c r="BP128" s="51"/>
      <c r="BQ128" s="51"/>
      <c r="BW128" s="51"/>
      <c r="BX128" s="51"/>
      <c r="CD128" s="51"/>
      <c r="CE128" s="51"/>
      <c r="CK128" s="51"/>
      <c r="CL128" s="51"/>
      <c r="CR128" s="51"/>
      <c r="CS128" s="51"/>
      <c r="CY128" s="51"/>
      <c r="CZ128" s="51"/>
      <c r="DF128" s="51"/>
      <c r="DG128" s="51"/>
      <c r="DM128" s="51"/>
      <c r="DN128" s="51"/>
      <c r="DT128" s="51"/>
      <c r="DU128" s="51"/>
      <c r="EA128" s="51"/>
      <c r="EB128" s="51"/>
      <c r="EH128" s="51"/>
      <c r="EI128" s="51"/>
      <c r="EO128" s="51"/>
      <c r="EP128" s="51"/>
      <c r="EV128" s="51"/>
      <c r="EW128" s="51"/>
      <c r="FC128" s="51"/>
      <c r="FD128" s="51"/>
      <c r="FJ128" s="51"/>
      <c r="FK128" s="51"/>
      <c r="FQ128" s="51"/>
      <c r="FR128" s="51"/>
      <c r="FX128" s="51"/>
      <c r="FY128" s="51"/>
      <c r="GE128" s="51"/>
      <c r="GF128" s="51"/>
      <c r="GL128" s="51"/>
      <c r="GM128" s="51"/>
      <c r="GS128" s="51"/>
      <c r="GT128" s="51"/>
      <c r="GZ128" s="51"/>
      <c r="HA128" s="51"/>
      <c r="HG128" s="51"/>
      <c r="HH128" s="51"/>
      <c r="HN128" s="51"/>
      <c r="HO128" s="51"/>
    </row>
    <row r="129" customFormat="false" ht="15" hidden="false" customHeight="false" outlineLevel="0" collapsed="false">
      <c r="A129" s="0" t="str">
        <f aca="false">'Schedule Engine'!B128</f>
        <v>IW12</v>
      </c>
      <c r="B129" s="0" t="str">
        <f aca="false">'Schedule Engine'!E128</f>
        <v>HVAC Finish</v>
      </c>
      <c r="C129" s="0" t="str">
        <f aca="false">'Schedule Engine'!F128</f>
        <v>Adco</v>
      </c>
      <c r="D129" s="0" t="n">
        <f aca="false">'Schedule Engine'!G128</f>
        <v>0</v>
      </c>
      <c r="E129" s="34" t="n">
        <f aca="false">'Schedule Engine'!N128</f>
        <v>46325</v>
      </c>
      <c r="F129" s="34" t="n">
        <f aca="false">'Schedule Engine'!O128</f>
        <v>46328</v>
      </c>
      <c r="G129" s="0" t="n">
        <f aca="false">'Schedule Engine'!K128</f>
        <v>2</v>
      </c>
      <c r="H129" s="0" t="n">
        <f aca="false">'Schedule Engine'!P128</f>
        <v>0</v>
      </c>
      <c r="L129" s="51"/>
      <c r="M129" s="51"/>
      <c r="S129" s="51"/>
      <c r="T129" s="51"/>
      <c r="Z129" s="51"/>
      <c r="AA129" s="51"/>
      <c r="AG129" s="51"/>
      <c r="AH129" s="51"/>
      <c r="AN129" s="51"/>
      <c r="AO129" s="51"/>
      <c r="AU129" s="51"/>
      <c r="AV129" s="51"/>
      <c r="BB129" s="51"/>
      <c r="BC129" s="51"/>
      <c r="BI129" s="51"/>
      <c r="BJ129" s="51"/>
      <c r="BP129" s="51"/>
      <c r="BQ129" s="51"/>
      <c r="BW129" s="51"/>
      <c r="BX129" s="51"/>
      <c r="CD129" s="51"/>
      <c r="CE129" s="51"/>
      <c r="CK129" s="51"/>
      <c r="CL129" s="51"/>
      <c r="CR129" s="51"/>
      <c r="CS129" s="51"/>
      <c r="CY129" s="51"/>
      <c r="CZ129" s="51"/>
      <c r="DF129" s="51"/>
      <c r="DG129" s="51"/>
      <c r="DM129" s="51"/>
      <c r="DN129" s="51"/>
      <c r="DT129" s="51"/>
      <c r="DU129" s="51"/>
      <c r="EA129" s="51"/>
      <c r="EB129" s="51"/>
      <c r="EH129" s="51"/>
      <c r="EI129" s="51"/>
      <c r="EO129" s="51"/>
      <c r="EP129" s="51"/>
      <c r="EV129" s="51"/>
      <c r="EW129" s="51"/>
      <c r="FC129" s="51"/>
      <c r="FD129" s="51"/>
      <c r="FJ129" s="51"/>
      <c r="FK129" s="51"/>
      <c r="FQ129" s="51"/>
      <c r="FR129" s="51"/>
      <c r="FX129" s="51"/>
      <c r="FY129" s="51"/>
      <c r="GE129" s="51"/>
      <c r="GF129" s="51"/>
      <c r="GL129" s="51"/>
      <c r="GM129" s="51"/>
      <c r="GS129" s="51"/>
      <c r="GT129" s="51"/>
      <c r="GZ129" s="51"/>
      <c r="HA129" s="51"/>
      <c r="HG129" s="51"/>
      <c r="HH129" s="51"/>
      <c r="HN129" s="51"/>
      <c r="HO129" s="51"/>
    </row>
    <row r="130" customFormat="false" ht="15" hidden="false" customHeight="false" outlineLevel="0" collapsed="false">
      <c r="A130" s="0" t="str">
        <f aca="false">'Schedule Engine'!B129</f>
        <v>IW12</v>
      </c>
      <c r="B130" s="0" t="str">
        <f aca="false">'Schedule Engine'!E129</f>
        <v>Plumbing Finish</v>
      </c>
      <c r="C130" s="0" t="str">
        <f aca="false">'Schedule Engine'!F129</f>
        <v>Hays</v>
      </c>
      <c r="D130" s="0" t="str">
        <f aca="false">'Schedule Engine'!G129</f>
        <v>Hays</v>
      </c>
      <c r="E130" s="34" t="n">
        <f aca="false">'Schedule Engine'!N129</f>
        <v>46311</v>
      </c>
      <c r="F130" s="34" t="n">
        <f aca="false">'Schedule Engine'!O129</f>
        <v>46314</v>
      </c>
      <c r="G130" s="0" t="n">
        <f aca="false">'Schedule Engine'!K129</f>
        <v>2</v>
      </c>
      <c r="H130" s="0" t="n">
        <f aca="false">'Schedule Engine'!P129</f>
        <v>0</v>
      </c>
      <c r="L130" s="51"/>
      <c r="M130" s="51"/>
      <c r="S130" s="51"/>
      <c r="T130" s="51"/>
      <c r="Z130" s="51"/>
      <c r="AA130" s="51"/>
      <c r="AG130" s="51"/>
      <c r="AH130" s="51"/>
      <c r="AN130" s="51"/>
      <c r="AO130" s="51"/>
      <c r="AU130" s="51"/>
      <c r="AV130" s="51"/>
      <c r="BB130" s="51"/>
      <c r="BC130" s="51"/>
      <c r="BI130" s="51"/>
      <c r="BJ130" s="51"/>
      <c r="BP130" s="51"/>
      <c r="BQ130" s="51"/>
      <c r="BW130" s="51"/>
      <c r="BX130" s="51"/>
      <c r="CD130" s="51"/>
      <c r="CE130" s="51"/>
      <c r="CK130" s="51"/>
      <c r="CL130" s="51"/>
      <c r="CR130" s="51"/>
      <c r="CS130" s="51"/>
      <c r="CY130" s="51"/>
      <c r="CZ130" s="51"/>
      <c r="DF130" s="51"/>
      <c r="DG130" s="51"/>
      <c r="DM130" s="51"/>
      <c r="DN130" s="51"/>
      <c r="DT130" s="51"/>
      <c r="DU130" s="51"/>
      <c r="EA130" s="51"/>
      <c r="EB130" s="51"/>
      <c r="EH130" s="51"/>
      <c r="EI130" s="51"/>
      <c r="EO130" s="51"/>
      <c r="EP130" s="51"/>
      <c r="EV130" s="51"/>
      <c r="EW130" s="51"/>
      <c r="FC130" s="51"/>
      <c r="FD130" s="51"/>
      <c r="FJ130" s="51"/>
      <c r="FK130" s="51"/>
      <c r="FQ130" s="51"/>
      <c r="FR130" s="51"/>
      <c r="FX130" s="51"/>
      <c r="FY130" s="51"/>
      <c r="GE130" s="51"/>
      <c r="GF130" s="51"/>
      <c r="GL130" s="51"/>
      <c r="GM130" s="51"/>
      <c r="GS130" s="51"/>
      <c r="GT130" s="51"/>
      <c r="GZ130" s="51"/>
      <c r="HA130" s="51"/>
      <c r="HG130" s="51"/>
      <c r="HH130" s="51"/>
      <c r="HN130" s="51"/>
      <c r="HO130" s="51"/>
    </row>
    <row r="131" customFormat="false" ht="15" hidden="false" customHeight="false" outlineLevel="0" collapsed="false">
      <c r="A131" s="0" t="str">
        <f aca="false">'Schedule Engine'!B130</f>
        <v>IW12</v>
      </c>
      <c r="B131" s="0" t="str">
        <f aca="false">'Schedule Engine'!E130</f>
        <v>Electrical Finish</v>
      </c>
      <c r="C131" s="0" t="str">
        <f aca="false">'Schedule Engine'!F130</f>
        <v>Dave Kaler</v>
      </c>
      <c r="D131" s="0" t="n">
        <f aca="false">'Schedule Engine'!G130</f>
        <v>0</v>
      </c>
      <c r="E131" s="34" t="n">
        <f aca="false">'Schedule Engine'!N130</f>
        <v>46325</v>
      </c>
      <c r="F131" s="34" t="n">
        <f aca="false">'Schedule Engine'!O130</f>
        <v>46330</v>
      </c>
      <c r="G131" s="0" t="n">
        <f aca="false">'Schedule Engine'!K130</f>
        <v>4</v>
      </c>
      <c r="H131" s="0" t="n">
        <f aca="false">'Schedule Engine'!P130</f>
        <v>0</v>
      </c>
      <c r="L131" s="51"/>
      <c r="M131" s="51"/>
      <c r="S131" s="51"/>
      <c r="T131" s="51"/>
      <c r="Z131" s="51"/>
      <c r="AA131" s="51"/>
      <c r="AG131" s="51"/>
      <c r="AH131" s="51"/>
      <c r="AN131" s="51"/>
      <c r="AO131" s="51"/>
      <c r="AU131" s="51"/>
      <c r="AV131" s="51"/>
      <c r="BB131" s="51"/>
      <c r="BC131" s="51"/>
      <c r="BI131" s="51"/>
      <c r="BJ131" s="51"/>
      <c r="BP131" s="51"/>
      <c r="BQ131" s="51"/>
      <c r="BW131" s="51"/>
      <c r="BX131" s="51"/>
      <c r="CD131" s="51"/>
      <c r="CE131" s="51"/>
      <c r="CK131" s="51"/>
      <c r="CL131" s="51"/>
      <c r="CR131" s="51"/>
      <c r="CS131" s="51"/>
      <c r="CY131" s="51"/>
      <c r="CZ131" s="51"/>
      <c r="DF131" s="51"/>
      <c r="DG131" s="51"/>
      <c r="DM131" s="51"/>
      <c r="DN131" s="51"/>
      <c r="DT131" s="51"/>
      <c r="DU131" s="51"/>
      <c r="EA131" s="51"/>
      <c r="EB131" s="51"/>
      <c r="EH131" s="51"/>
      <c r="EI131" s="51"/>
      <c r="EO131" s="51"/>
      <c r="EP131" s="51"/>
      <c r="EV131" s="51"/>
      <c r="EW131" s="51"/>
      <c r="FC131" s="51"/>
      <c r="FD131" s="51"/>
      <c r="FJ131" s="51"/>
      <c r="FK131" s="51"/>
      <c r="FQ131" s="51"/>
      <c r="FR131" s="51"/>
      <c r="FX131" s="51"/>
      <c r="FY131" s="51"/>
      <c r="GE131" s="51"/>
      <c r="GF131" s="51"/>
      <c r="GL131" s="51"/>
      <c r="GM131" s="51"/>
      <c r="GS131" s="51"/>
      <c r="GT131" s="51"/>
      <c r="GZ131" s="51"/>
      <c r="HA131" s="51"/>
      <c r="HG131" s="51"/>
      <c r="HH131" s="51"/>
      <c r="HN131" s="51"/>
      <c r="HO131" s="51"/>
    </row>
    <row r="132" customFormat="false" ht="15" hidden="false" customHeight="false" outlineLevel="0" collapsed="false">
      <c r="A132" s="0" t="str">
        <f aca="false">'Schedule Engine'!B131</f>
        <v>IW12</v>
      </c>
      <c r="B132" s="0" t="str">
        <f aca="false">'Schedule Engine'!E131</f>
        <v>Insulation Ceiling</v>
      </c>
      <c r="C132" s="0" t="str">
        <f aca="false">'Schedule Engine'!F131</f>
        <v>Tyler Champion</v>
      </c>
      <c r="D132" s="0" t="n">
        <f aca="false">'Schedule Engine'!G131</f>
        <v>0</v>
      </c>
      <c r="E132" s="34" t="n">
        <f aca="false">'Schedule Engine'!N131</f>
        <v>46331</v>
      </c>
      <c r="F132" s="34" t="n">
        <f aca="false">'Schedule Engine'!O131</f>
        <v>46332</v>
      </c>
      <c r="G132" s="0" t="n">
        <f aca="false">'Schedule Engine'!K131</f>
        <v>2</v>
      </c>
      <c r="H132" s="0" t="n">
        <f aca="false">'Schedule Engine'!P131</f>
        <v>0</v>
      </c>
      <c r="L132" s="51"/>
      <c r="M132" s="51"/>
      <c r="S132" s="51"/>
      <c r="T132" s="51"/>
      <c r="Z132" s="51"/>
      <c r="AA132" s="51"/>
      <c r="AG132" s="51"/>
      <c r="AH132" s="51"/>
      <c r="AN132" s="51"/>
      <c r="AO132" s="51"/>
      <c r="AU132" s="51"/>
      <c r="AV132" s="51"/>
      <c r="BB132" s="51"/>
      <c r="BC132" s="51"/>
      <c r="BI132" s="51"/>
      <c r="BJ132" s="51"/>
      <c r="BP132" s="51"/>
      <c r="BQ132" s="51"/>
      <c r="BW132" s="51"/>
      <c r="BX132" s="51"/>
      <c r="CD132" s="51"/>
      <c r="CE132" s="51"/>
      <c r="CK132" s="51"/>
      <c r="CL132" s="51"/>
      <c r="CR132" s="51"/>
      <c r="CS132" s="51"/>
      <c r="CY132" s="51"/>
      <c r="CZ132" s="51"/>
      <c r="DF132" s="51"/>
      <c r="DG132" s="51"/>
      <c r="DM132" s="51"/>
      <c r="DN132" s="51"/>
      <c r="DT132" s="51"/>
      <c r="DU132" s="51"/>
      <c r="EA132" s="51"/>
      <c r="EB132" s="51"/>
      <c r="EH132" s="51"/>
      <c r="EI132" s="51"/>
      <c r="EO132" s="51"/>
      <c r="EP132" s="51"/>
      <c r="EV132" s="51"/>
      <c r="EW132" s="51"/>
      <c r="FC132" s="51"/>
      <c r="FD132" s="51"/>
      <c r="FJ132" s="51"/>
      <c r="FK132" s="51"/>
      <c r="FQ132" s="51"/>
      <c r="FR132" s="51"/>
      <c r="FX132" s="51"/>
      <c r="FY132" s="51"/>
      <c r="GE132" s="51"/>
      <c r="GF132" s="51"/>
      <c r="GL132" s="51"/>
      <c r="GM132" s="51"/>
      <c r="GS132" s="51"/>
      <c r="GT132" s="51"/>
      <c r="GZ132" s="51"/>
      <c r="HA132" s="51"/>
      <c r="HG132" s="51"/>
      <c r="HH132" s="51"/>
      <c r="HN132" s="51"/>
      <c r="HO132" s="51"/>
    </row>
    <row r="133" customFormat="false" ht="15" hidden="false" customHeight="false" outlineLevel="0" collapsed="false">
      <c r="A133" s="0" t="str">
        <f aca="false">'Schedule Engine'!B132</f>
        <v>IW12</v>
      </c>
      <c r="B133" s="0" t="str">
        <f aca="false">'Schedule Engine'!E132</f>
        <v>Painting Finish</v>
      </c>
      <c r="C133" s="0" t="str">
        <f aca="false">'Schedule Engine'!F132</f>
        <v>L&amp;L Painting</v>
      </c>
      <c r="D133" s="0" t="n">
        <f aca="false">'Schedule Engine'!G132</f>
        <v>0</v>
      </c>
      <c r="E133" s="34" t="n">
        <f aca="false">'Schedule Engine'!N132</f>
        <v>46331</v>
      </c>
      <c r="F133" s="34" t="n">
        <f aca="false">'Schedule Engine'!O132</f>
        <v>46337</v>
      </c>
      <c r="G133" s="0" t="n">
        <f aca="false">'Schedule Engine'!K132</f>
        <v>5</v>
      </c>
      <c r="H133" s="0" t="n">
        <f aca="false">'Schedule Engine'!P132</f>
        <v>0</v>
      </c>
      <c r="L133" s="51"/>
      <c r="M133" s="51"/>
      <c r="S133" s="51"/>
      <c r="T133" s="51"/>
      <c r="Z133" s="51"/>
      <c r="AA133" s="51"/>
      <c r="AG133" s="51"/>
      <c r="AH133" s="51"/>
      <c r="AN133" s="51"/>
      <c r="AO133" s="51"/>
      <c r="AU133" s="51"/>
      <c r="AV133" s="51"/>
      <c r="BB133" s="51"/>
      <c r="BC133" s="51"/>
      <c r="BI133" s="51"/>
      <c r="BJ133" s="51"/>
      <c r="BP133" s="51"/>
      <c r="BQ133" s="51"/>
      <c r="BW133" s="51"/>
      <c r="BX133" s="51"/>
      <c r="CD133" s="51"/>
      <c r="CE133" s="51"/>
      <c r="CK133" s="51"/>
      <c r="CL133" s="51"/>
      <c r="CR133" s="51"/>
      <c r="CS133" s="51"/>
      <c r="CY133" s="51"/>
      <c r="CZ133" s="51"/>
      <c r="DF133" s="51"/>
      <c r="DG133" s="51"/>
      <c r="DM133" s="51"/>
      <c r="DN133" s="51"/>
      <c r="DT133" s="51"/>
      <c r="DU133" s="51"/>
      <c r="EA133" s="51"/>
      <c r="EB133" s="51"/>
      <c r="EH133" s="51"/>
      <c r="EI133" s="51"/>
      <c r="EO133" s="51"/>
      <c r="EP133" s="51"/>
      <c r="EV133" s="51"/>
      <c r="EW133" s="51"/>
      <c r="FC133" s="51"/>
      <c r="FD133" s="51"/>
      <c r="FJ133" s="51"/>
      <c r="FK133" s="51"/>
      <c r="FQ133" s="51"/>
      <c r="FR133" s="51"/>
      <c r="FX133" s="51"/>
      <c r="FY133" s="51"/>
      <c r="GE133" s="51"/>
      <c r="GF133" s="51"/>
      <c r="GL133" s="51"/>
      <c r="GM133" s="51"/>
      <c r="GS133" s="51"/>
      <c r="GT133" s="51"/>
      <c r="GZ133" s="51"/>
      <c r="HA133" s="51"/>
      <c r="HG133" s="51"/>
      <c r="HH133" s="51"/>
      <c r="HN133" s="51"/>
      <c r="HO133" s="51"/>
    </row>
    <row r="134" customFormat="false" ht="15" hidden="false" customHeight="false" outlineLevel="0" collapsed="false">
      <c r="A134" s="0" t="str">
        <f aca="false">'Schedule Engine'!B133</f>
        <v>IW12</v>
      </c>
      <c r="B134" s="0" t="str">
        <f aca="false">'Schedule Engine'!E133</f>
        <v>Cleaning</v>
      </c>
      <c r="C134" s="0" t="str">
        <f aca="false">'Schedule Engine'!F133</f>
        <v>Angies Cleaning</v>
      </c>
      <c r="D134" s="0" t="n">
        <f aca="false">'Schedule Engine'!G133</f>
        <v>0</v>
      </c>
      <c r="E134" s="34" t="n">
        <f aca="false">'Schedule Engine'!N133</f>
        <v>46338</v>
      </c>
      <c r="F134" s="34" t="n">
        <f aca="false">'Schedule Engine'!O133</f>
        <v>46342</v>
      </c>
      <c r="G134" s="0" t="n">
        <f aca="false">'Schedule Engine'!K133</f>
        <v>3</v>
      </c>
      <c r="H134" s="0" t="n">
        <f aca="false">'Schedule Engine'!P133</f>
        <v>0</v>
      </c>
      <c r="L134" s="51"/>
      <c r="M134" s="51"/>
      <c r="S134" s="51"/>
      <c r="T134" s="51"/>
      <c r="Z134" s="51"/>
      <c r="AA134" s="51"/>
      <c r="AG134" s="51"/>
      <c r="AH134" s="51"/>
      <c r="AN134" s="51"/>
      <c r="AO134" s="51"/>
      <c r="AU134" s="51"/>
      <c r="AV134" s="51"/>
      <c r="BB134" s="51"/>
      <c r="BC134" s="51"/>
      <c r="BI134" s="51"/>
      <c r="BJ134" s="51"/>
      <c r="BP134" s="51"/>
      <c r="BQ134" s="51"/>
      <c r="BW134" s="51"/>
      <c r="BX134" s="51"/>
      <c r="CD134" s="51"/>
      <c r="CE134" s="51"/>
      <c r="CK134" s="51"/>
      <c r="CL134" s="51"/>
      <c r="CR134" s="51"/>
      <c r="CS134" s="51"/>
      <c r="CY134" s="51"/>
      <c r="CZ134" s="51"/>
      <c r="DF134" s="51"/>
      <c r="DG134" s="51"/>
      <c r="DM134" s="51"/>
      <c r="DN134" s="51"/>
      <c r="DT134" s="51"/>
      <c r="DU134" s="51"/>
      <c r="EA134" s="51"/>
      <c r="EB134" s="51"/>
      <c r="EH134" s="51"/>
      <c r="EI134" s="51"/>
      <c r="EO134" s="51"/>
      <c r="EP134" s="51"/>
      <c r="EV134" s="51"/>
      <c r="EW134" s="51"/>
      <c r="FC134" s="51"/>
      <c r="FD134" s="51"/>
      <c r="FJ134" s="51"/>
      <c r="FK134" s="51"/>
      <c r="FQ134" s="51"/>
      <c r="FR134" s="51"/>
      <c r="FX134" s="51"/>
      <c r="FY134" s="51"/>
      <c r="GE134" s="51"/>
      <c r="GF134" s="51"/>
      <c r="GL134" s="51"/>
      <c r="GM134" s="51"/>
      <c r="GS134" s="51"/>
      <c r="GT134" s="51"/>
      <c r="GZ134" s="51"/>
      <c r="HA134" s="51"/>
      <c r="HG134" s="51"/>
      <c r="HH134" s="51"/>
      <c r="HN134" s="51"/>
      <c r="HO134" s="51"/>
    </row>
    <row r="135" customFormat="false" ht="15" hidden="false" customHeight="false" outlineLevel="0" collapsed="false">
      <c r="A135" s="0" t="str">
        <f aca="false">'Schedule Engine'!B134</f>
        <v>IW13</v>
      </c>
      <c r="B135" s="0" t="str">
        <f aca="false">'Schedule Engine'!E134</f>
        <v>Estimate</v>
      </c>
      <c r="C135" s="0" t="str">
        <f aca="false">'Schedule Engine'!F134</f>
        <v>Willett &amp; Assoc.</v>
      </c>
      <c r="D135" s="0" t="n">
        <f aca="false">'Schedule Engine'!G134</f>
        <v>0</v>
      </c>
      <c r="E135" s="34" t="n">
        <f aca="false">'Schedule Engine'!N134</f>
        <v>46176</v>
      </c>
      <c r="F135" s="34" t="n">
        <f aca="false">'Schedule Engine'!O134</f>
        <v>46189</v>
      </c>
      <c r="G135" s="0" t="n">
        <f aca="false">'Schedule Engine'!K134</f>
        <v>10</v>
      </c>
      <c r="H135" s="0" t="n">
        <f aca="false">'Schedule Engine'!P134</f>
        <v>0</v>
      </c>
      <c r="L135" s="51"/>
      <c r="M135" s="51"/>
      <c r="S135" s="51"/>
      <c r="T135" s="51"/>
      <c r="Z135" s="51"/>
      <c r="AA135" s="51"/>
      <c r="AG135" s="51"/>
      <c r="AH135" s="51"/>
      <c r="AN135" s="51"/>
      <c r="AO135" s="51"/>
      <c r="AU135" s="51"/>
      <c r="AV135" s="51"/>
      <c r="BB135" s="51"/>
      <c r="BC135" s="51"/>
      <c r="BI135" s="51"/>
      <c r="BJ135" s="51"/>
      <c r="BP135" s="51"/>
      <c r="BQ135" s="51"/>
      <c r="BW135" s="51"/>
      <c r="BX135" s="51"/>
      <c r="CD135" s="51"/>
      <c r="CE135" s="51"/>
      <c r="CK135" s="51"/>
      <c r="CL135" s="51"/>
      <c r="CR135" s="51"/>
      <c r="CS135" s="51"/>
      <c r="CY135" s="51"/>
      <c r="CZ135" s="51"/>
      <c r="DF135" s="51"/>
      <c r="DG135" s="51"/>
      <c r="DM135" s="51"/>
      <c r="DN135" s="51"/>
      <c r="DT135" s="51"/>
      <c r="DU135" s="51"/>
      <c r="EA135" s="51"/>
      <c r="EB135" s="51"/>
      <c r="EH135" s="51"/>
      <c r="EI135" s="51"/>
      <c r="EO135" s="51"/>
      <c r="EP135" s="51"/>
      <c r="EV135" s="51"/>
      <c r="EW135" s="51"/>
      <c r="FC135" s="51"/>
      <c r="FD135" s="51"/>
      <c r="FJ135" s="51"/>
      <c r="FK135" s="51"/>
      <c r="FQ135" s="51"/>
      <c r="FR135" s="51"/>
      <c r="FX135" s="51"/>
      <c r="FY135" s="51"/>
      <c r="GE135" s="51"/>
      <c r="GF135" s="51"/>
      <c r="GL135" s="51"/>
      <c r="GM135" s="51"/>
      <c r="GS135" s="51"/>
      <c r="GT135" s="51"/>
      <c r="GZ135" s="51"/>
      <c r="HA135" s="51"/>
      <c r="HG135" s="51"/>
      <c r="HH135" s="51"/>
      <c r="HN135" s="51"/>
      <c r="HO135" s="51"/>
    </row>
    <row r="136" customFormat="false" ht="15" hidden="false" customHeight="false" outlineLevel="0" collapsed="false">
      <c r="A136" s="0" t="str">
        <f aca="false">'Schedule Engine'!B135</f>
        <v>IW13</v>
      </c>
      <c r="B136" s="0" t="str">
        <f aca="false">'Schedule Engine'!E135</f>
        <v>Clearing</v>
      </c>
      <c r="C136" s="0" t="str">
        <f aca="false">'Schedule Engine'!F135</f>
        <v>Willett &amp; Assoc.</v>
      </c>
      <c r="D136" s="0" t="n">
        <f aca="false">'Schedule Engine'!G135</f>
        <v>0</v>
      </c>
      <c r="E136" s="34" t="n">
        <f aca="false">'Schedule Engine'!N135</f>
        <v>46190</v>
      </c>
      <c r="F136" s="34" t="n">
        <f aca="false">'Schedule Engine'!O135</f>
        <v>46192</v>
      </c>
      <c r="G136" s="0" t="n">
        <f aca="false">'Schedule Engine'!K135</f>
        <v>3</v>
      </c>
      <c r="H136" s="0" t="n">
        <f aca="false">'Schedule Engine'!P135</f>
        <v>0</v>
      </c>
      <c r="L136" s="51"/>
      <c r="M136" s="51"/>
      <c r="S136" s="51"/>
      <c r="T136" s="51"/>
      <c r="Z136" s="51"/>
      <c r="AA136" s="51"/>
      <c r="AG136" s="51"/>
      <c r="AH136" s="51"/>
      <c r="AN136" s="51"/>
      <c r="AO136" s="51"/>
      <c r="AU136" s="51"/>
      <c r="AV136" s="51"/>
      <c r="BB136" s="51"/>
      <c r="BC136" s="51"/>
      <c r="BI136" s="51"/>
      <c r="BJ136" s="51"/>
      <c r="BP136" s="51"/>
      <c r="BQ136" s="51"/>
      <c r="BW136" s="51"/>
      <c r="BX136" s="51"/>
      <c r="CD136" s="51"/>
      <c r="CE136" s="51"/>
      <c r="CK136" s="51"/>
      <c r="CL136" s="51"/>
      <c r="CR136" s="51"/>
      <c r="CS136" s="51"/>
      <c r="CY136" s="51"/>
      <c r="CZ136" s="51"/>
      <c r="DF136" s="51"/>
      <c r="DG136" s="51"/>
      <c r="DM136" s="51"/>
      <c r="DN136" s="51"/>
      <c r="DT136" s="51"/>
      <c r="DU136" s="51"/>
      <c r="EA136" s="51"/>
      <c r="EB136" s="51"/>
      <c r="EH136" s="51"/>
      <c r="EI136" s="51"/>
      <c r="EO136" s="51"/>
      <c r="EP136" s="51"/>
      <c r="EV136" s="51"/>
      <c r="EW136" s="51"/>
      <c r="FC136" s="51"/>
      <c r="FD136" s="51"/>
      <c r="FJ136" s="51"/>
      <c r="FK136" s="51"/>
      <c r="FQ136" s="51"/>
      <c r="FR136" s="51"/>
      <c r="FX136" s="51"/>
      <c r="FY136" s="51"/>
      <c r="GE136" s="51"/>
      <c r="GF136" s="51"/>
      <c r="GL136" s="51"/>
      <c r="GM136" s="51"/>
      <c r="GS136" s="51"/>
      <c r="GT136" s="51"/>
      <c r="GZ136" s="51"/>
      <c r="HA136" s="51"/>
      <c r="HG136" s="51"/>
      <c r="HH136" s="51"/>
      <c r="HN136" s="51"/>
      <c r="HO136" s="51"/>
    </row>
    <row r="137" customFormat="false" ht="15" hidden="false" customHeight="false" outlineLevel="0" collapsed="false">
      <c r="A137" s="0" t="str">
        <f aca="false">'Schedule Engine'!B136</f>
        <v>IW13</v>
      </c>
      <c r="B137" s="0" t="str">
        <f aca="false">'Schedule Engine'!E136</f>
        <v>Site Prep</v>
      </c>
      <c r="C137" s="0" t="str">
        <f aca="false">'Schedule Engine'!F136</f>
        <v>Willett &amp; Assoc.</v>
      </c>
      <c r="D137" s="0" t="n">
        <f aca="false">'Schedule Engine'!G136</f>
        <v>0</v>
      </c>
      <c r="E137" s="34" t="n">
        <f aca="false">'Schedule Engine'!N136</f>
        <v>46195</v>
      </c>
      <c r="F137" s="34" t="n">
        <f aca="false">'Schedule Engine'!O136</f>
        <v>46196</v>
      </c>
      <c r="G137" s="0" t="n">
        <f aca="false">'Schedule Engine'!K136</f>
        <v>2</v>
      </c>
      <c r="H137" s="0" t="n">
        <f aca="false">'Schedule Engine'!P136</f>
        <v>0</v>
      </c>
      <c r="L137" s="51"/>
      <c r="M137" s="51"/>
      <c r="S137" s="51"/>
      <c r="T137" s="51"/>
      <c r="Z137" s="51"/>
      <c r="AA137" s="51"/>
      <c r="AG137" s="51"/>
      <c r="AH137" s="51"/>
      <c r="AN137" s="51"/>
      <c r="AO137" s="51"/>
      <c r="AU137" s="51"/>
      <c r="AV137" s="51"/>
      <c r="BB137" s="51"/>
      <c r="BC137" s="51"/>
      <c r="BI137" s="51"/>
      <c r="BJ137" s="51"/>
      <c r="BP137" s="51"/>
      <c r="BQ137" s="51"/>
      <c r="BW137" s="51"/>
      <c r="BX137" s="51"/>
      <c r="CD137" s="51"/>
      <c r="CE137" s="51"/>
      <c r="CK137" s="51"/>
      <c r="CL137" s="51"/>
      <c r="CR137" s="51"/>
      <c r="CS137" s="51"/>
      <c r="CY137" s="51"/>
      <c r="CZ137" s="51"/>
      <c r="DF137" s="51"/>
      <c r="DG137" s="51"/>
      <c r="DM137" s="51"/>
      <c r="DN137" s="51"/>
      <c r="DT137" s="51"/>
      <c r="DU137" s="51"/>
      <c r="EA137" s="51"/>
      <c r="EB137" s="51"/>
      <c r="EH137" s="51"/>
      <c r="EI137" s="51"/>
      <c r="EO137" s="51"/>
      <c r="EP137" s="51"/>
      <c r="EV137" s="51"/>
      <c r="EW137" s="51"/>
      <c r="FC137" s="51"/>
      <c r="FD137" s="51"/>
      <c r="FJ137" s="51"/>
      <c r="FK137" s="51"/>
      <c r="FQ137" s="51"/>
      <c r="FR137" s="51"/>
      <c r="FX137" s="51"/>
      <c r="FY137" s="51"/>
      <c r="GE137" s="51"/>
      <c r="GF137" s="51"/>
      <c r="GL137" s="51"/>
      <c r="GM137" s="51"/>
      <c r="GS137" s="51"/>
      <c r="GT137" s="51"/>
      <c r="GZ137" s="51"/>
      <c r="HA137" s="51"/>
      <c r="HG137" s="51"/>
      <c r="HH137" s="51"/>
      <c r="HN137" s="51"/>
      <c r="HO137" s="51"/>
    </row>
    <row r="138" customFormat="false" ht="15" hidden="false" customHeight="false" outlineLevel="0" collapsed="false">
      <c r="A138" s="0" t="str">
        <f aca="false">'Schedule Engine'!B137</f>
        <v>IW13</v>
      </c>
      <c r="B138" s="0" t="str">
        <f aca="false">'Schedule Engine'!E137</f>
        <v>Footer</v>
      </c>
      <c r="C138" s="0" t="str">
        <f aca="false">'Schedule Engine'!F137</f>
        <v>3C Concrete</v>
      </c>
      <c r="D138" s="0" t="str">
        <f aca="false">'Schedule Engine'!G137</f>
        <v>3C Concrete</v>
      </c>
      <c r="E138" s="34" t="n">
        <f aca="false">'Schedule Engine'!N137</f>
        <v>46197</v>
      </c>
      <c r="F138" s="34" t="n">
        <f aca="false">'Schedule Engine'!O137</f>
        <v>46202</v>
      </c>
      <c r="G138" s="0" t="n">
        <f aca="false">'Schedule Engine'!K137</f>
        <v>4</v>
      </c>
      <c r="H138" s="0" t="n">
        <f aca="false">'Schedule Engine'!P137</f>
        <v>0</v>
      </c>
      <c r="L138" s="51"/>
      <c r="M138" s="51"/>
      <c r="S138" s="51"/>
      <c r="T138" s="51"/>
      <c r="Z138" s="51"/>
      <c r="AA138" s="51"/>
      <c r="AG138" s="51"/>
      <c r="AH138" s="51"/>
      <c r="AN138" s="51"/>
      <c r="AO138" s="51"/>
      <c r="AU138" s="51"/>
      <c r="AV138" s="51"/>
      <c r="BB138" s="51"/>
      <c r="BC138" s="51"/>
      <c r="BI138" s="51"/>
      <c r="BJ138" s="51"/>
      <c r="BP138" s="51"/>
      <c r="BQ138" s="51"/>
      <c r="BW138" s="51"/>
      <c r="BX138" s="51"/>
      <c r="CD138" s="51"/>
      <c r="CE138" s="51"/>
      <c r="CK138" s="51"/>
      <c r="CL138" s="51"/>
      <c r="CR138" s="51"/>
      <c r="CS138" s="51"/>
      <c r="CY138" s="51"/>
      <c r="CZ138" s="51"/>
      <c r="DF138" s="51"/>
      <c r="DG138" s="51"/>
      <c r="DM138" s="51"/>
      <c r="DN138" s="51"/>
      <c r="DT138" s="51"/>
      <c r="DU138" s="51"/>
      <c r="EA138" s="51"/>
      <c r="EB138" s="51"/>
      <c r="EH138" s="51"/>
      <c r="EI138" s="51"/>
      <c r="EO138" s="51"/>
      <c r="EP138" s="51"/>
      <c r="EV138" s="51"/>
      <c r="EW138" s="51"/>
      <c r="FC138" s="51"/>
      <c r="FD138" s="51"/>
      <c r="FJ138" s="51"/>
      <c r="FK138" s="51"/>
      <c r="FQ138" s="51"/>
      <c r="FR138" s="51"/>
      <c r="FX138" s="51"/>
      <c r="FY138" s="51"/>
      <c r="GE138" s="51"/>
      <c r="GF138" s="51"/>
      <c r="GL138" s="51"/>
      <c r="GM138" s="51"/>
      <c r="GS138" s="51"/>
      <c r="GT138" s="51"/>
      <c r="GZ138" s="51"/>
      <c r="HA138" s="51"/>
      <c r="HG138" s="51"/>
      <c r="HH138" s="51"/>
      <c r="HN138" s="51"/>
      <c r="HO138" s="51"/>
    </row>
    <row r="139" customFormat="false" ht="15" hidden="false" customHeight="false" outlineLevel="0" collapsed="false">
      <c r="A139" s="0" t="str">
        <f aca="false">'Schedule Engine'!B138</f>
        <v>IW13</v>
      </c>
      <c r="B139" s="0" t="str">
        <f aca="false">'Schedule Engine'!E138</f>
        <v>Block</v>
      </c>
      <c r="C139" s="0" t="str">
        <f aca="false">'Schedule Engine'!F138</f>
        <v>Julio H</v>
      </c>
      <c r="D139" s="0" t="n">
        <f aca="false">'Schedule Engine'!G138</f>
        <v>0</v>
      </c>
      <c r="E139" s="34" t="n">
        <f aca="false">'Schedule Engine'!N138</f>
        <v>46203</v>
      </c>
      <c r="F139" s="34" t="n">
        <f aca="false">'Schedule Engine'!O138</f>
        <v>46216</v>
      </c>
      <c r="G139" s="0" t="n">
        <f aca="false">'Schedule Engine'!K138</f>
        <v>10</v>
      </c>
      <c r="H139" s="0" t="n">
        <f aca="false">'Schedule Engine'!P138</f>
        <v>0</v>
      </c>
      <c r="L139" s="51"/>
      <c r="M139" s="51"/>
      <c r="S139" s="51"/>
      <c r="T139" s="51"/>
      <c r="Z139" s="51"/>
      <c r="AA139" s="51"/>
      <c r="AG139" s="51"/>
      <c r="AH139" s="51"/>
      <c r="AN139" s="51"/>
      <c r="AO139" s="51"/>
      <c r="AU139" s="51"/>
      <c r="AV139" s="51"/>
      <c r="BB139" s="51"/>
      <c r="BC139" s="51"/>
      <c r="BI139" s="51"/>
      <c r="BJ139" s="51"/>
      <c r="BP139" s="51"/>
      <c r="BQ139" s="51"/>
      <c r="BW139" s="51"/>
      <c r="BX139" s="51"/>
      <c r="CD139" s="51"/>
      <c r="CE139" s="51"/>
      <c r="CK139" s="51"/>
      <c r="CL139" s="51"/>
      <c r="CR139" s="51"/>
      <c r="CS139" s="51"/>
      <c r="CY139" s="51"/>
      <c r="CZ139" s="51"/>
      <c r="DF139" s="51"/>
      <c r="DG139" s="51"/>
      <c r="DM139" s="51"/>
      <c r="DN139" s="51"/>
      <c r="DT139" s="51"/>
      <c r="DU139" s="51"/>
      <c r="EA139" s="51"/>
      <c r="EB139" s="51"/>
      <c r="EH139" s="51"/>
      <c r="EI139" s="51"/>
      <c r="EO139" s="51"/>
      <c r="EP139" s="51"/>
      <c r="EV139" s="51"/>
      <c r="EW139" s="51"/>
      <c r="FC139" s="51"/>
      <c r="FD139" s="51"/>
      <c r="FJ139" s="51"/>
      <c r="FK139" s="51"/>
      <c r="FQ139" s="51"/>
      <c r="FR139" s="51"/>
      <c r="FX139" s="51"/>
      <c r="FY139" s="51"/>
      <c r="GE139" s="51"/>
      <c r="GF139" s="51"/>
      <c r="GL139" s="51"/>
      <c r="GM139" s="51"/>
      <c r="GS139" s="51"/>
      <c r="GT139" s="51"/>
      <c r="GZ139" s="51"/>
      <c r="HA139" s="51"/>
      <c r="HG139" s="51"/>
      <c r="HH139" s="51"/>
      <c r="HN139" s="51"/>
      <c r="HO139" s="51"/>
    </row>
    <row r="140" customFormat="false" ht="15" hidden="false" customHeight="false" outlineLevel="0" collapsed="false">
      <c r="A140" s="0" t="str">
        <f aca="false">'Schedule Engine'!B139</f>
        <v>IW13</v>
      </c>
      <c r="B140" s="0" t="str">
        <f aca="false">'Schedule Engine'!E139</f>
        <v>French Drain</v>
      </c>
      <c r="C140" s="0" t="str">
        <f aca="false">'Schedule Engine'!F139</f>
        <v>Jacob Hayden</v>
      </c>
      <c r="D140" s="0" t="n">
        <f aca="false">'Schedule Engine'!G139</f>
        <v>0</v>
      </c>
      <c r="E140" s="34" t="n">
        <f aca="false">'Schedule Engine'!N139</f>
        <v>46217</v>
      </c>
      <c r="F140" s="34" t="n">
        <f aca="false">'Schedule Engine'!O139</f>
        <v>46218</v>
      </c>
      <c r="G140" s="0" t="n">
        <f aca="false">'Schedule Engine'!K139</f>
        <v>2</v>
      </c>
      <c r="H140" s="0" t="n">
        <f aca="false">'Schedule Engine'!P139</f>
        <v>0</v>
      </c>
      <c r="L140" s="51"/>
      <c r="M140" s="51"/>
      <c r="S140" s="51"/>
      <c r="T140" s="51"/>
      <c r="Z140" s="51"/>
      <c r="AA140" s="51"/>
      <c r="AG140" s="51"/>
      <c r="AH140" s="51"/>
      <c r="AN140" s="51"/>
      <c r="AO140" s="51"/>
      <c r="AU140" s="51"/>
      <c r="AV140" s="51"/>
      <c r="BB140" s="51"/>
      <c r="BC140" s="51"/>
      <c r="BI140" s="51"/>
      <c r="BJ140" s="51"/>
      <c r="BP140" s="51"/>
      <c r="BQ140" s="51"/>
      <c r="BW140" s="51"/>
      <c r="BX140" s="51"/>
      <c r="CD140" s="51"/>
      <c r="CE140" s="51"/>
      <c r="CK140" s="51"/>
      <c r="CL140" s="51"/>
      <c r="CR140" s="51"/>
      <c r="CS140" s="51"/>
      <c r="CY140" s="51"/>
      <c r="CZ140" s="51"/>
      <c r="DF140" s="51"/>
      <c r="DG140" s="51"/>
      <c r="DM140" s="51"/>
      <c r="DN140" s="51"/>
      <c r="DT140" s="51"/>
      <c r="DU140" s="51"/>
      <c r="EA140" s="51"/>
      <c r="EB140" s="51"/>
      <c r="EH140" s="51"/>
      <c r="EI140" s="51"/>
      <c r="EO140" s="51"/>
      <c r="EP140" s="51"/>
      <c r="EV140" s="51"/>
      <c r="EW140" s="51"/>
      <c r="FC140" s="51"/>
      <c r="FD140" s="51"/>
      <c r="FJ140" s="51"/>
      <c r="FK140" s="51"/>
      <c r="FQ140" s="51"/>
      <c r="FR140" s="51"/>
      <c r="FX140" s="51"/>
      <c r="FY140" s="51"/>
      <c r="GE140" s="51"/>
      <c r="GF140" s="51"/>
      <c r="GL140" s="51"/>
      <c r="GM140" s="51"/>
      <c r="GS140" s="51"/>
      <c r="GT140" s="51"/>
      <c r="GZ140" s="51"/>
      <c r="HA140" s="51"/>
      <c r="HG140" s="51"/>
      <c r="HH140" s="51"/>
      <c r="HN140" s="51"/>
      <c r="HO140" s="51"/>
    </row>
    <row r="141" customFormat="false" ht="15" hidden="false" customHeight="false" outlineLevel="0" collapsed="false">
      <c r="A141" s="0" t="str">
        <f aca="false">'Schedule Engine'!B140</f>
        <v>IW13</v>
      </c>
      <c r="B141" s="0" t="str">
        <f aca="false">'Schedule Engine'!E140</f>
        <v>Insulation Block</v>
      </c>
      <c r="C141" s="0" t="str">
        <f aca="false">'Schedule Engine'!F140</f>
        <v>Tyler Champion</v>
      </c>
      <c r="D141" s="0" t="n">
        <f aca="false">'Schedule Engine'!G140</f>
        <v>0</v>
      </c>
      <c r="E141" s="34" t="n">
        <f aca="false">'Schedule Engine'!N140</f>
        <v>46217</v>
      </c>
      <c r="F141" s="34" t="n">
        <f aca="false">'Schedule Engine'!O140</f>
        <v>46218</v>
      </c>
      <c r="G141" s="0" t="n">
        <f aca="false">'Schedule Engine'!K140</f>
        <v>2</v>
      </c>
      <c r="H141" s="0" t="n">
        <f aca="false">'Schedule Engine'!P140</f>
        <v>0</v>
      </c>
      <c r="L141" s="51"/>
      <c r="M141" s="51"/>
      <c r="S141" s="51"/>
      <c r="T141" s="51"/>
      <c r="Z141" s="51"/>
      <c r="AA141" s="51"/>
      <c r="AG141" s="51"/>
      <c r="AH141" s="51"/>
      <c r="AN141" s="51"/>
      <c r="AO141" s="51"/>
      <c r="AU141" s="51"/>
      <c r="AV141" s="51"/>
      <c r="BB141" s="51"/>
      <c r="BC141" s="51"/>
      <c r="BI141" s="51"/>
      <c r="BJ141" s="51"/>
      <c r="BP141" s="51"/>
      <c r="BQ141" s="51"/>
      <c r="BW141" s="51"/>
      <c r="BX141" s="51"/>
      <c r="CD141" s="51"/>
      <c r="CE141" s="51"/>
      <c r="CK141" s="51"/>
      <c r="CL141" s="51"/>
      <c r="CR141" s="51"/>
      <c r="CS141" s="51"/>
      <c r="CY141" s="51"/>
      <c r="CZ141" s="51"/>
      <c r="DF141" s="51"/>
      <c r="DG141" s="51"/>
      <c r="DM141" s="51"/>
      <c r="DN141" s="51"/>
      <c r="DT141" s="51"/>
      <c r="DU141" s="51"/>
      <c r="EA141" s="51"/>
      <c r="EB141" s="51"/>
      <c r="EH141" s="51"/>
      <c r="EI141" s="51"/>
      <c r="EO141" s="51"/>
      <c r="EP141" s="51"/>
      <c r="EV141" s="51"/>
      <c r="EW141" s="51"/>
      <c r="FC141" s="51"/>
      <c r="FD141" s="51"/>
      <c r="FJ141" s="51"/>
      <c r="FK141" s="51"/>
      <c r="FQ141" s="51"/>
      <c r="FR141" s="51"/>
      <c r="FX141" s="51"/>
      <c r="FY141" s="51"/>
      <c r="GE141" s="51"/>
      <c r="GF141" s="51"/>
      <c r="GL141" s="51"/>
      <c r="GM141" s="51"/>
      <c r="GS141" s="51"/>
      <c r="GT141" s="51"/>
      <c r="GZ141" s="51"/>
      <c r="HA141" s="51"/>
      <c r="HG141" s="51"/>
      <c r="HH141" s="51"/>
      <c r="HN141" s="51"/>
      <c r="HO141" s="51"/>
    </row>
    <row r="142" customFormat="false" ht="15" hidden="false" customHeight="false" outlineLevel="0" collapsed="false">
      <c r="A142" s="0" t="str">
        <f aca="false">'Schedule Engine'!B141</f>
        <v>IW13</v>
      </c>
      <c r="B142" s="0" t="str">
        <f aca="false">'Schedule Engine'!E141</f>
        <v>Rock Work</v>
      </c>
      <c r="C142" s="0" t="n">
        <f aca="false">'Schedule Engine'!F141</f>
        <v>0</v>
      </c>
      <c r="D142" s="0" t="n">
        <f aca="false">'Schedule Engine'!G141</f>
        <v>0</v>
      </c>
      <c r="E142" s="34" t="n">
        <f aca="false">'Schedule Engine'!N141</f>
        <v>46219</v>
      </c>
      <c r="F142" s="34" t="n">
        <f aca="false">'Schedule Engine'!O141</f>
        <v>46220</v>
      </c>
      <c r="G142" s="0" t="n">
        <f aca="false">'Schedule Engine'!K141</f>
        <v>2</v>
      </c>
      <c r="H142" s="0" t="n">
        <f aca="false">'Schedule Engine'!P141</f>
        <v>0</v>
      </c>
      <c r="L142" s="51"/>
      <c r="M142" s="51"/>
      <c r="S142" s="51"/>
      <c r="T142" s="51"/>
      <c r="Z142" s="51"/>
      <c r="AA142" s="51"/>
      <c r="AG142" s="51"/>
      <c r="AH142" s="51"/>
      <c r="AN142" s="51"/>
      <c r="AO142" s="51"/>
      <c r="AU142" s="51"/>
      <c r="AV142" s="51"/>
      <c r="BB142" s="51"/>
      <c r="BC142" s="51"/>
      <c r="BI142" s="51"/>
      <c r="BJ142" s="51"/>
      <c r="BP142" s="51"/>
      <c r="BQ142" s="51"/>
      <c r="BW142" s="51"/>
      <c r="BX142" s="51"/>
      <c r="CD142" s="51"/>
      <c r="CE142" s="51"/>
      <c r="CK142" s="51"/>
      <c r="CL142" s="51"/>
      <c r="CR142" s="51"/>
      <c r="CS142" s="51"/>
      <c r="CY142" s="51"/>
      <c r="CZ142" s="51"/>
      <c r="DF142" s="51"/>
      <c r="DG142" s="51"/>
      <c r="DM142" s="51"/>
      <c r="DN142" s="51"/>
      <c r="DT142" s="51"/>
      <c r="DU142" s="51"/>
      <c r="EA142" s="51"/>
      <c r="EB142" s="51"/>
      <c r="EH142" s="51"/>
      <c r="EI142" s="51"/>
      <c r="EO142" s="51"/>
      <c r="EP142" s="51"/>
      <c r="EV142" s="51"/>
      <c r="EW142" s="51"/>
      <c r="FC142" s="51"/>
      <c r="FD142" s="51"/>
      <c r="FJ142" s="51"/>
      <c r="FK142" s="51"/>
      <c r="FQ142" s="51"/>
      <c r="FR142" s="51"/>
      <c r="FX142" s="51"/>
      <c r="FY142" s="51"/>
      <c r="GE142" s="51"/>
      <c r="GF142" s="51"/>
      <c r="GL142" s="51"/>
      <c r="GM142" s="51"/>
      <c r="GS142" s="51"/>
      <c r="GT142" s="51"/>
      <c r="GZ142" s="51"/>
      <c r="HA142" s="51"/>
      <c r="HG142" s="51"/>
      <c r="HH142" s="51"/>
      <c r="HN142" s="51"/>
      <c r="HO142" s="51"/>
    </row>
    <row r="143" customFormat="false" ht="15" hidden="false" customHeight="false" outlineLevel="0" collapsed="false">
      <c r="A143" s="0" t="str">
        <f aca="false">'Schedule Engine'!B142</f>
        <v>IW13</v>
      </c>
      <c r="B143" s="0" t="str">
        <f aca="false">'Schedule Engine'!E142</f>
        <v>HVAC Pre</v>
      </c>
      <c r="C143" s="0" t="str">
        <f aca="false">'Schedule Engine'!F142</f>
        <v>Adco</v>
      </c>
      <c r="D143" s="0" t="n">
        <f aca="false">'Schedule Engine'!G142</f>
        <v>0</v>
      </c>
      <c r="E143" s="34" t="n">
        <f aca="false">'Schedule Engine'!N142</f>
        <v>46223</v>
      </c>
      <c r="F143" s="34" t="n">
        <f aca="false">'Schedule Engine'!O142</f>
        <v>46224</v>
      </c>
      <c r="G143" s="0" t="n">
        <f aca="false">'Schedule Engine'!K142</f>
        <v>2</v>
      </c>
      <c r="H143" s="0" t="n">
        <f aca="false">'Schedule Engine'!P142</f>
        <v>0</v>
      </c>
      <c r="L143" s="51"/>
      <c r="M143" s="51"/>
      <c r="S143" s="51"/>
      <c r="T143" s="51"/>
      <c r="Z143" s="51"/>
      <c r="AA143" s="51"/>
      <c r="AG143" s="51"/>
      <c r="AH143" s="51"/>
      <c r="AN143" s="51"/>
      <c r="AO143" s="51"/>
      <c r="AU143" s="51"/>
      <c r="AV143" s="51"/>
      <c r="BB143" s="51"/>
      <c r="BC143" s="51"/>
      <c r="BI143" s="51"/>
      <c r="BJ143" s="51"/>
      <c r="BP143" s="51"/>
      <c r="BQ143" s="51"/>
      <c r="BW143" s="51"/>
      <c r="BX143" s="51"/>
      <c r="CD143" s="51"/>
      <c r="CE143" s="51"/>
      <c r="CK143" s="51"/>
      <c r="CL143" s="51"/>
      <c r="CR143" s="51"/>
      <c r="CS143" s="51"/>
      <c r="CY143" s="51"/>
      <c r="CZ143" s="51"/>
      <c r="DF143" s="51"/>
      <c r="DG143" s="51"/>
      <c r="DM143" s="51"/>
      <c r="DN143" s="51"/>
      <c r="DT143" s="51"/>
      <c r="DU143" s="51"/>
      <c r="EA143" s="51"/>
      <c r="EB143" s="51"/>
      <c r="EH143" s="51"/>
      <c r="EI143" s="51"/>
      <c r="EO143" s="51"/>
      <c r="EP143" s="51"/>
      <c r="EV143" s="51"/>
      <c r="EW143" s="51"/>
      <c r="FC143" s="51"/>
      <c r="FD143" s="51"/>
      <c r="FJ143" s="51"/>
      <c r="FK143" s="51"/>
      <c r="FQ143" s="51"/>
      <c r="FR143" s="51"/>
      <c r="FX143" s="51"/>
      <c r="FY143" s="51"/>
      <c r="GE143" s="51"/>
      <c r="GF143" s="51"/>
      <c r="GL143" s="51"/>
      <c r="GM143" s="51"/>
      <c r="GS143" s="51"/>
      <c r="GT143" s="51"/>
      <c r="GZ143" s="51"/>
      <c r="HA143" s="51"/>
      <c r="HG143" s="51"/>
      <c r="HH143" s="51"/>
      <c r="HN143" s="51"/>
      <c r="HO143" s="51"/>
    </row>
    <row r="144" customFormat="false" ht="15" hidden="false" customHeight="false" outlineLevel="0" collapsed="false">
      <c r="A144" s="0" t="str">
        <f aca="false">'Schedule Engine'!B143</f>
        <v>IW13</v>
      </c>
      <c r="B144" s="0" t="str">
        <f aca="false">'Schedule Engine'!E143</f>
        <v>Plumbing Pre</v>
      </c>
      <c r="C144" s="0" t="str">
        <f aca="false">'Schedule Engine'!F143</f>
        <v>Hays</v>
      </c>
      <c r="D144" s="0" t="str">
        <f aca="false">'Schedule Engine'!G143</f>
        <v>Hays</v>
      </c>
      <c r="E144" s="34" t="n">
        <f aca="false">'Schedule Engine'!N143</f>
        <v>46223</v>
      </c>
      <c r="F144" s="34" t="n">
        <f aca="false">'Schedule Engine'!O143</f>
        <v>46227</v>
      </c>
      <c r="G144" s="0" t="n">
        <f aca="false">'Schedule Engine'!K143</f>
        <v>5</v>
      </c>
      <c r="H144" s="0" t="n">
        <f aca="false">'Schedule Engine'!P143</f>
        <v>0</v>
      </c>
      <c r="L144" s="51"/>
      <c r="M144" s="51"/>
      <c r="S144" s="51"/>
      <c r="T144" s="51"/>
      <c r="Z144" s="51"/>
      <c r="AA144" s="51"/>
      <c r="AG144" s="51"/>
      <c r="AH144" s="51"/>
      <c r="AN144" s="51"/>
      <c r="AO144" s="51"/>
      <c r="AU144" s="51"/>
      <c r="AV144" s="51"/>
      <c r="BB144" s="51"/>
      <c r="BC144" s="51"/>
      <c r="BI144" s="51"/>
      <c r="BJ144" s="51"/>
      <c r="BP144" s="51"/>
      <c r="BQ144" s="51"/>
      <c r="BW144" s="51"/>
      <c r="BX144" s="51"/>
      <c r="CD144" s="51"/>
      <c r="CE144" s="51"/>
      <c r="CK144" s="51"/>
      <c r="CL144" s="51"/>
      <c r="CR144" s="51"/>
      <c r="CS144" s="51"/>
      <c r="CY144" s="51"/>
      <c r="CZ144" s="51"/>
      <c r="DF144" s="51"/>
      <c r="DG144" s="51"/>
      <c r="DM144" s="51"/>
      <c r="DN144" s="51"/>
      <c r="DT144" s="51"/>
      <c r="DU144" s="51"/>
      <c r="EA144" s="51"/>
      <c r="EB144" s="51"/>
      <c r="EH144" s="51"/>
      <c r="EI144" s="51"/>
      <c r="EO144" s="51"/>
      <c r="EP144" s="51"/>
      <c r="EV144" s="51"/>
      <c r="EW144" s="51"/>
      <c r="FC144" s="51"/>
      <c r="FD144" s="51"/>
      <c r="FJ144" s="51"/>
      <c r="FK144" s="51"/>
      <c r="FQ144" s="51"/>
      <c r="FR144" s="51"/>
      <c r="FX144" s="51"/>
      <c r="FY144" s="51"/>
      <c r="GE144" s="51"/>
      <c r="GF144" s="51"/>
      <c r="GL144" s="51"/>
      <c r="GM144" s="51"/>
      <c r="GS144" s="51"/>
      <c r="GT144" s="51"/>
      <c r="GZ144" s="51"/>
      <c r="HA144" s="51"/>
      <c r="HG144" s="51"/>
      <c r="HH144" s="51"/>
      <c r="HN144" s="51"/>
      <c r="HO144" s="51"/>
    </row>
    <row r="145" customFormat="false" ht="15" hidden="false" customHeight="false" outlineLevel="0" collapsed="false">
      <c r="A145" s="0" t="str">
        <f aca="false">'Schedule Engine'!B144</f>
        <v>IW13</v>
      </c>
      <c r="B145" s="0" t="str">
        <f aca="false">'Schedule Engine'!E144</f>
        <v>Electrical Pre</v>
      </c>
      <c r="C145" s="0" t="str">
        <f aca="false">'Schedule Engine'!F144</f>
        <v>Dave Kaler</v>
      </c>
      <c r="D145" s="0" t="n">
        <f aca="false">'Schedule Engine'!G144</f>
        <v>0</v>
      </c>
      <c r="E145" s="34" t="n">
        <f aca="false">'Schedule Engine'!N144</f>
        <v>46223</v>
      </c>
      <c r="F145" s="34" t="n">
        <f aca="false">'Schedule Engine'!O144</f>
        <v>46224</v>
      </c>
      <c r="G145" s="0" t="n">
        <f aca="false">'Schedule Engine'!K144</f>
        <v>2</v>
      </c>
      <c r="H145" s="0" t="n">
        <f aca="false">'Schedule Engine'!P144</f>
        <v>0</v>
      </c>
      <c r="L145" s="51"/>
      <c r="M145" s="51"/>
      <c r="S145" s="51"/>
      <c r="T145" s="51"/>
      <c r="Z145" s="51"/>
      <c r="AA145" s="51"/>
      <c r="AG145" s="51"/>
      <c r="AH145" s="51"/>
      <c r="AN145" s="51"/>
      <c r="AO145" s="51"/>
      <c r="AU145" s="51"/>
      <c r="AV145" s="51"/>
      <c r="BB145" s="51"/>
      <c r="BC145" s="51"/>
      <c r="BI145" s="51"/>
      <c r="BJ145" s="51"/>
      <c r="BP145" s="51"/>
      <c r="BQ145" s="51"/>
      <c r="BW145" s="51"/>
      <c r="BX145" s="51"/>
      <c r="CD145" s="51"/>
      <c r="CE145" s="51"/>
      <c r="CK145" s="51"/>
      <c r="CL145" s="51"/>
      <c r="CR145" s="51"/>
      <c r="CS145" s="51"/>
      <c r="CY145" s="51"/>
      <c r="CZ145" s="51"/>
      <c r="DF145" s="51"/>
      <c r="DG145" s="51"/>
      <c r="DM145" s="51"/>
      <c r="DN145" s="51"/>
      <c r="DT145" s="51"/>
      <c r="DU145" s="51"/>
      <c r="EA145" s="51"/>
      <c r="EB145" s="51"/>
      <c r="EH145" s="51"/>
      <c r="EI145" s="51"/>
      <c r="EO145" s="51"/>
      <c r="EP145" s="51"/>
      <c r="EV145" s="51"/>
      <c r="EW145" s="51"/>
      <c r="FC145" s="51"/>
      <c r="FD145" s="51"/>
      <c r="FJ145" s="51"/>
      <c r="FK145" s="51"/>
      <c r="FQ145" s="51"/>
      <c r="FR145" s="51"/>
      <c r="FX145" s="51"/>
      <c r="FY145" s="51"/>
      <c r="GE145" s="51"/>
      <c r="GF145" s="51"/>
      <c r="GL145" s="51"/>
      <c r="GM145" s="51"/>
      <c r="GS145" s="51"/>
      <c r="GT145" s="51"/>
      <c r="GZ145" s="51"/>
      <c r="HA145" s="51"/>
      <c r="HG145" s="51"/>
      <c r="HH145" s="51"/>
      <c r="HN145" s="51"/>
      <c r="HO145" s="51"/>
    </row>
    <row r="146" customFormat="false" ht="15" hidden="false" customHeight="false" outlineLevel="0" collapsed="false">
      <c r="A146" s="0" t="str">
        <f aca="false">'Schedule Engine'!B145</f>
        <v>IW13</v>
      </c>
      <c r="B146" s="0" t="str">
        <f aca="false">'Schedule Engine'!E145</f>
        <v>Slab</v>
      </c>
      <c r="C146" s="0" t="str">
        <f aca="false">'Schedule Engine'!F145</f>
        <v>3C Concrete</v>
      </c>
      <c r="D146" s="0" t="str">
        <f aca="false">'Schedule Engine'!G145</f>
        <v>3C Concrete</v>
      </c>
      <c r="E146" s="34" t="n">
        <f aca="false">'Schedule Engine'!N145</f>
        <v>46230</v>
      </c>
      <c r="F146" s="34" t="n">
        <f aca="false">'Schedule Engine'!O145</f>
        <v>46233</v>
      </c>
      <c r="G146" s="0" t="n">
        <f aca="false">'Schedule Engine'!K145</f>
        <v>4</v>
      </c>
      <c r="H146" s="0" t="n">
        <f aca="false">'Schedule Engine'!P145</f>
        <v>0</v>
      </c>
      <c r="L146" s="51"/>
      <c r="M146" s="51"/>
      <c r="S146" s="51"/>
      <c r="T146" s="51"/>
      <c r="Z146" s="51"/>
      <c r="AA146" s="51"/>
      <c r="AG146" s="51"/>
      <c r="AH146" s="51"/>
      <c r="AN146" s="51"/>
      <c r="AO146" s="51"/>
      <c r="AU146" s="51"/>
      <c r="AV146" s="51"/>
      <c r="BB146" s="51"/>
      <c r="BC146" s="51"/>
      <c r="BI146" s="51"/>
      <c r="BJ146" s="51"/>
      <c r="BP146" s="51"/>
      <c r="BQ146" s="51"/>
      <c r="BW146" s="51"/>
      <c r="BX146" s="51"/>
      <c r="CD146" s="51"/>
      <c r="CE146" s="51"/>
      <c r="CK146" s="51"/>
      <c r="CL146" s="51"/>
      <c r="CR146" s="51"/>
      <c r="CS146" s="51"/>
      <c r="CY146" s="51"/>
      <c r="CZ146" s="51"/>
      <c r="DF146" s="51"/>
      <c r="DG146" s="51"/>
      <c r="DM146" s="51"/>
      <c r="DN146" s="51"/>
      <c r="DT146" s="51"/>
      <c r="DU146" s="51"/>
      <c r="EA146" s="51"/>
      <c r="EB146" s="51"/>
      <c r="EH146" s="51"/>
      <c r="EI146" s="51"/>
      <c r="EO146" s="51"/>
      <c r="EP146" s="51"/>
      <c r="EV146" s="51"/>
      <c r="EW146" s="51"/>
      <c r="FC146" s="51"/>
      <c r="FD146" s="51"/>
      <c r="FJ146" s="51"/>
      <c r="FK146" s="51"/>
      <c r="FQ146" s="51"/>
      <c r="FR146" s="51"/>
      <c r="FX146" s="51"/>
      <c r="FY146" s="51"/>
      <c r="GE146" s="51"/>
      <c r="GF146" s="51"/>
      <c r="GL146" s="51"/>
      <c r="GM146" s="51"/>
      <c r="GS146" s="51"/>
      <c r="GT146" s="51"/>
      <c r="GZ146" s="51"/>
      <c r="HA146" s="51"/>
      <c r="HG146" s="51"/>
      <c r="HH146" s="51"/>
      <c r="HN146" s="51"/>
      <c r="HO146" s="51"/>
    </row>
    <row r="147" customFormat="false" ht="15" hidden="false" customHeight="false" outlineLevel="0" collapsed="false">
      <c r="A147" s="0" t="str">
        <f aca="false">'Schedule Engine'!B146</f>
        <v>IW13</v>
      </c>
      <c r="B147" s="0" t="str">
        <f aca="false">'Schedule Engine'!E146</f>
        <v>Framing</v>
      </c>
      <c r="C147" s="0" t="str">
        <f aca="false">'Schedule Engine'!F146</f>
        <v>Gerardo</v>
      </c>
      <c r="D147" s="0" t="n">
        <f aca="false">'Schedule Engine'!G146</f>
        <v>0</v>
      </c>
      <c r="E147" s="34" t="n">
        <f aca="false">'Schedule Engine'!N146</f>
        <v>46234</v>
      </c>
      <c r="F147" s="34" t="n">
        <f aca="false">'Schedule Engine'!O146</f>
        <v>46275</v>
      </c>
      <c r="G147" s="0" t="n">
        <f aca="false">'Schedule Engine'!K146</f>
        <v>30</v>
      </c>
      <c r="H147" s="0" t="n">
        <f aca="false">'Schedule Engine'!P146</f>
        <v>0</v>
      </c>
      <c r="L147" s="51"/>
      <c r="M147" s="51"/>
      <c r="S147" s="51"/>
      <c r="T147" s="51"/>
      <c r="Z147" s="51"/>
      <c r="AA147" s="51"/>
      <c r="AG147" s="51"/>
      <c r="AH147" s="51"/>
      <c r="AN147" s="51"/>
      <c r="AO147" s="51"/>
      <c r="AU147" s="51"/>
      <c r="AV147" s="51"/>
      <c r="BB147" s="51"/>
      <c r="BC147" s="51"/>
      <c r="BI147" s="51"/>
      <c r="BJ147" s="51"/>
      <c r="BP147" s="51"/>
      <c r="BQ147" s="51"/>
      <c r="BW147" s="51"/>
      <c r="BX147" s="51"/>
      <c r="CD147" s="51"/>
      <c r="CE147" s="51"/>
      <c r="CK147" s="51"/>
      <c r="CL147" s="51"/>
      <c r="CR147" s="51"/>
      <c r="CS147" s="51"/>
      <c r="CY147" s="51"/>
      <c r="CZ147" s="51"/>
      <c r="DF147" s="51"/>
      <c r="DG147" s="51"/>
      <c r="DM147" s="51"/>
      <c r="DN147" s="51"/>
      <c r="DT147" s="51"/>
      <c r="DU147" s="51"/>
      <c r="EA147" s="51"/>
      <c r="EB147" s="51"/>
      <c r="EH147" s="51"/>
      <c r="EI147" s="51"/>
      <c r="EO147" s="51"/>
      <c r="EP147" s="51"/>
      <c r="EV147" s="51"/>
      <c r="EW147" s="51"/>
      <c r="FC147" s="51"/>
      <c r="FD147" s="51"/>
      <c r="FJ147" s="51"/>
      <c r="FK147" s="51"/>
      <c r="FQ147" s="51"/>
      <c r="FR147" s="51"/>
      <c r="FX147" s="51"/>
      <c r="FY147" s="51"/>
      <c r="GE147" s="51"/>
      <c r="GF147" s="51"/>
      <c r="GL147" s="51"/>
      <c r="GM147" s="51"/>
      <c r="GS147" s="51"/>
      <c r="GT147" s="51"/>
      <c r="GZ147" s="51"/>
      <c r="HA147" s="51"/>
      <c r="HG147" s="51"/>
      <c r="HH147" s="51"/>
      <c r="HN147" s="51"/>
      <c r="HO147" s="51"/>
    </row>
    <row r="148" customFormat="false" ht="15" hidden="false" customHeight="false" outlineLevel="0" collapsed="false">
      <c r="A148" s="0" t="str">
        <f aca="false">'Schedule Engine'!B147</f>
        <v>IW13</v>
      </c>
      <c r="B148" s="0" t="str">
        <f aca="false">'Schedule Engine'!E147</f>
        <v>Roofing</v>
      </c>
      <c r="C148" s="0" t="str">
        <f aca="false">'Schedule Engine'!F147</f>
        <v>Rod Smith</v>
      </c>
      <c r="D148" s="0" t="n">
        <f aca="false">'Schedule Engine'!G147</f>
        <v>0</v>
      </c>
      <c r="E148" s="34" t="n">
        <f aca="false">'Schedule Engine'!N147</f>
        <v>46276</v>
      </c>
      <c r="F148" s="34" t="n">
        <f aca="false">'Schedule Engine'!O147</f>
        <v>46281</v>
      </c>
      <c r="G148" s="0" t="n">
        <f aca="false">'Schedule Engine'!K147</f>
        <v>4</v>
      </c>
      <c r="H148" s="0" t="n">
        <f aca="false">'Schedule Engine'!P147</f>
        <v>0</v>
      </c>
      <c r="L148" s="51"/>
      <c r="M148" s="51"/>
      <c r="S148" s="51"/>
      <c r="T148" s="51"/>
      <c r="Z148" s="51"/>
      <c r="AA148" s="51"/>
      <c r="AG148" s="51"/>
      <c r="AH148" s="51"/>
      <c r="AN148" s="51"/>
      <c r="AO148" s="51"/>
      <c r="AU148" s="51"/>
      <c r="AV148" s="51"/>
      <c r="BB148" s="51"/>
      <c r="BC148" s="51"/>
      <c r="BI148" s="51"/>
      <c r="BJ148" s="51"/>
      <c r="BP148" s="51"/>
      <c r="BQ148" s="51"/>
      <c r="BW148" s="51"/>
      <c r="BX148" s="51"/>
      <c r="CD148" s="51"/>
      <c r="CE148" s="51"/>
      <c r="CK148" s="51"/>
      <c r="CL148" s="51"/>
      <c r="CR148" s="51"/>
      <c r="CS148" s="51"/>
      <c r="CY148" s="51"/>
      <c r="CZ148" s="51"/>
      <c r="DF148" s="51"/>
      <c r="DG148" s="51"/>
      <c r="DM148" s="51"/>
      <c r="DN148" s="51"/>
      <c r="DT148" s="51"/>
      <c r="DU148" s="51"/>
      <c r="EA148" s="51"/>
      <c r="EB148" s="51"/>
      <c r="EH148" s="51"/>
      <c r="EI148" s="51"/>
      <c r="EO148" s="51"/>
      <c r="EP148" s="51"/>
      <c r="EV148" s="51"/>
      <c r="EW148" s="51"/>
      <c r="FC148" s="51"/>
      <c r="FD148" s="51"/>
      <c r="FJ148" s="51"/>
      <c r="FK148" s="51"/>
      <c r="FQ148" s="51"/>
      <c r="FR148" s="51"/>
      <c r="FX148" s="51"/>
      <c r="FY148" s="51"/>
      <c r="GE148" s="51"/>
      <c r="GF148" s="51"/>
      <c r="GL148" s="51"/>
      <c r="GM148" s="51"/>
      <c r="GS148" s="51"/>
      <c r="GT148" s="51"/>
      <c r="GZ148" s="51"/>
      <c r="HA148" s="51"/>
      <c r="HG148" s="51"/>
      <c r="HH148" s="51"/>
      <c r="HN148" s="51"/>
      <c r="HO148" s="51"/>
    </row>
    <row r="149" customFormat="false" ht="15" hidden="false" customHeight="false" outlineLevel="0" collapsed="false">
      <c r="A149" s="0" t="str">
        <f aca="false">'Schedule Engine'!B148</f>
        <v>IW13</v>
      </c>
      <c r="B149" s="0" t="str">
        <f aca="false">'Schedule Engine'!E148</f>
        <v>Brick</v>
      </c>
      <c r="C149" s="0" t="str">
        <f aca="false">'Schedule Engine'!F148</f>
        <v>Julio H</v>
      </c>
      <c r="D149" s="0" t="n">
        <f aca="false">'Schedule Engine'!G148</f>
        <v>0</v>
      </c>
      <c r="E149" s="34" t="n">
        <f aca="false">'Schedule Engine'!N148</f>
        <v>46282</v>
      </c>
      <c r="F149" s="34" t="n">
        <f aca="false">'Schedule Engine'!O148</f>
        <v>46309</v>
      </c>
      <c r="G149" s="0" t="n">
        <f aca="false">'Schedule Engine'!K148</f>
        <v>20</v>
      </c>
      <c r="H149" s="0" t="n">
        <f aca="false">'Schedule Engine'!P148</f>
        <v>0</v>
      </c>
      <c r="L149" s="51"/>
      <c r="M149" s="51"/>
      <c r="S149" s="51"/>
      <c r="T149" s="51"/>
      <c r="Z149" s="51"/>
      <c r="AA149" s="51"/>
      <c r="AG149" s="51"/>
      <c r="AH149" s="51"/>
      <c r="AN149" s="51"/>
      <c r="AO149" s="51"/>
      <c r="AU149" s="51"/>
      <c r="AV149" s="51"/>
      <c r="BB149" s="51"/>
      <c r="BC149" s="51"/>
      <c r="BI149" s="51"/>
      <c r="BJ149" s="51"/>
      <c r="BP149" s="51"/>
      <c r="BQ149" s="51"/>
      <c r="BW149" s="51"/>
      <c r="BX149" s="51"/>
      <c r="CD149" s="51"/>
      <c r="CE149" s="51"/>
      <c r="CK149" s="51"/>
      <c r="CL149" s="51"/>
      <c r="CR149" s="51"/>
      <c r="CS149" s="51"/>
      <c r="CY149" s="51"/>
      <c r="CZ149" s="51"/>
      <c r="DF149" s="51"/>
      <c r="DG149" s="51"/>
      <c r="DM149" s="51"/>
      <c r="DN149" s="51"/>
      <c r="DT149" s="51"/>
      <c r="DU149" s="51"/>
      <c r="EA149" s="51"/>
      <c r="EB149" s="51"/>
      <c r="EH149" s="51"/>
      <c r="EI149" s="51"/>
      <c r="EO149" s="51"/>
      <c r="EP149" s="51"/>
      <c r="EV149" s="51"/>
      <c r="EW149" s="51"/>
      <c r="FC149" s="51"/>
      <c r="FD149" s="51"/>
      <c r="FJ149" s="51"/>
      <c r="FK149" s="51"/>
      <c r="FQ149" s="51"/>
      <c r="FR149" s="51"/>
      <c r="FX149" s="51"/>
      <c r="FY149" s="51"/>
      <c r="GE149" s="51"/>
      <c r="GF149" s="51"/>
      <c r="GL149" s="51"/>
      <c r="GM149" s="51"/>
      <c r="GS149" s="51"/>
      <c r="GT149" s="51"/>
      <c r="GZ149" s="51"/>
      <c r="HA149" s="51"/>
      <c r="HG149" s="51"/>
      <c r="HH149" s="51"/>
      <c r="HN149" s="51"/>
      <c r="HO149" s="51"/>
    </row>
    <row r="150" customFormat="false" ht="15" hidden="false" customHeight="false" outlineLevel="0" collapsed="false">
      <c r="A150" s="0" t="str">
        <f aca="false">'Schedule Engine'!B149</f>
        <v>IW13</v>
      </c>
      <c r="B150" s="0" t="str">
        <f aca="false">'Schedule Engine'!E149</f>
        <v>Stone</v>
      </c>
      <c r="C150" s="0" t="str">
        <f aca="false">'Schedule Engine'!F149</f>
        <v>Julio H</v>
      </c>
      <c r="D150" s="0" t="n">
        <f aca="false">'Schedule Engine'!G149</f>
        <v>0</v>
      </c>
      <c r="E150" s="34" t="n">
        <f aca="false">'Schedule Engine'!N149</f>
        <v>46282</v>
      </c>
      <c r="F150" s="34" t="n">
        <f aca="false">'Schedule Engine'!O149</f>
        <v>46309</v>
      </c>
      <c r="G150" s="0" t="n">
        <f aca="false">'Schedule Engine'!K149</f>
        <v>20</v>
      </c>
      <c r="H150" s="0" t="n">
        <f aca="false">'Schedule Engine'!P149</f>
        <v>0</v>
      </c>
      <c r="L150" s="51"/>
      <c r="M150" s="51"/>
      <c r="S150" s="51"/>
      <c r="T150" s="51"/>
      <c r="Z150" s="51"/>
      <c r="AA150" s="51"/>
      <c r="AG150" s="51"/>
      <c r="AH150" s="51"/>
      <c r="AN150" s="51"/>
      <c r="AO150" s="51"/>
      <c r="AU150" s="51"/>
      <c r="AV150" s="51"/>
      <c r="BB150" s="51"/>
      <c r="BC150" s="51"/>
      <c r="BI150" s="51"/>
      <c r="BJ150" s="51"/>
      <c r="BP150" s="51"/>
      <c r="BQ150" s="51"/>
      <c r="BW150" s="51"/>
      <c r="BX150" s="51"/>
      <c r="CD150" s="51"/>
      <c r="CE150" s="51"/>
      <c r="CK150" s="51"/>
      <c r="CL150" s="51"/>
      <c r="CR150" s="51"/>
      <c r="CS150" s="51"/>
      <c r="CY150" s="51"/>
      <c r="CZ150" s="51"/>
      <c r="DF150" s="51"/>
      <c r="DG150" s="51"/>
      <c r="DM150" s="51"/>
      <c r="DN150" s="51"/>
      <c r="DT150" s="51"/>
      <c r="DU150" s="51"/>
      <c r="EA150" s="51"/>
      <c r="EB150" s="51"/>
      <c r="EH150" s="51"/>
      <c r="EI150" s="51"/>
      <c r="EO150" s="51"/>
      <c r="EP150" s="51"/>
      <c r="EV150" s="51"/>
      <c r="EW150" s="51"/>
      <c r="FC150" s="51"/>
      <c r="FD150" s="51"/>
      <c r="FJ150" s="51"/>
      <c r="FK150" s="51"/>
      <c r="FQ150" s="51"/>
      <c r="FR150" s="51"/>
      <c r="FX150" s="51"/>
      <c r="FY150" s="51"/>
      <c r="GE150" s="51"/>
      <c r="GF150" s="51"/>
      <c r="GL150" s="51"/>
      <c r="GM150" s="51"/>
      <c r="GS150" s="51"/>
      <c r="GT150" s="51"/>
      <c r="GZ150" s="51"/>
      <c r="HA150" s="51"/>
      <c r="HG150" s="51"/>
      <c r="HH150" s="51"/>
      <c r="HN150" s="51"/>
      <c r="HO150" s="51"/>
    </row>
    <row r="151" customFormat="false" ht="15" hidden="false" customHeight="false" outlineLevel="0" collapsed="false">
      <c r="A151" s="0" t="str">
        <f aca="false">'Schedule Engine'!B150</f>
        <v>IW13</v>
      </c>
      <c r="B151" s="0" t="str">
        <f aca="false">'Schedule Engine'!E150</f>
        <v>Siding</v>
      </c>
      <c r="C151" s="0" t="str">
        <f aca="false">'Schedule Engine'!F150</f>
        <v>Gerardo</v>
      </c>
      <c r="D151" s="0" t="n">
        <f aca="false">'Schedule Engine'!G150</f>
        <v>0</v>
      </c>
      <c r="E151" s="34" t="n">
        <f aca="false">'Schedule Engine'!N150</f>
        <v>46282</v>
      </c>
      <c r="F151" s="34" t="n">
        <f aca="false">'Schedule Engine'!O150</f>
        <v>46309</v>
      </c>
      <c r="G151" s="0" t="n">
        <f aca="false">'Schedule Engine'!K150</f>
        <v>20</v>
      </c>
      <c r="H151" s="0" t="n">
        <f aca="false">'Schedule Engine'!P150</f>
        <v>0</v>
      </c>
      <c r="L151" s="51"/>
      <c r="M151" s="51"/>
      <c r="S151" s="51"/>
      <c r="T151" s="51"/>
      <c r="Z151" s="51"/>
      <c r="AA151" s="51"/>
      <c r="AG151" s="51"/>
      <c r="AH151" s="51"/>
      <c r="AN151" s="51"/>
      <c r="AO151" s="51"/>
      <c r="AU151" s="51"/>
      <c r="AV151" s="51"/>
      <c r="BB151" s="51"/>
      <c r="BC151" s="51"/>
      <c r="BI151" s="51"/>
      <c r="BJ151" s="51"/>
      <c r="BP151" s="51"/>
      <c r="BQ151" s="51"/>
      <c r="BW151" s="51"/>
      <c r="BX151" s="51"/>
      <c r="CD151" s="51"/>
      <c r="CE151" s="51"/>
      <c r="CK151" s="51"/>
      <c r="CL151" s="51"/>
      <c r="CR151" s="51"/>
      <c r="CS151" s="51"/>
      <c r="CY151" s="51"/>
      <c r="CZ151" s="51"/>
      <c r="DF151" s="51"/>
      <c r="DG151" s="51"/>
      <c r="DM151" s="51"/>
      <c r="DN151" s="51"/>
      <c r="DT151" s="51"/>
      <c r="DU151" s="51"/>
      <c r="EA151" s="51"/>
      <c r="EB151" s="51"/>
      <c r="EH151" s="51"/>
      <c r="EI151" s="51"/>
      <c r="EO151" s="51"/>
      <c r="EP151" s="51"/>
      <c r="EV151" s="51"/>
      <c r="EW151" s="51"/>
      <c r="FC151" s="51"/>
      <c r="FD151" s="51"/>
      <c r="FJ151" s="51"/>
      <c r="FK151" s="51"/>
      <c r="FQ151" s="51"/>
      <c r="FR151" s="51"/>
      <c r="FX151" s="51"/>
      <c r="FY151" s="51"/>
      <c r="GE151" s="51"/>
      <c r="GF151" s="51"/>
      <c r="GL151" s="51"/>
      <c r="GM151" s="51"/>
      <c r="GS151" s="51"/>
      <c r="GT151" s="51"/>
      <c r="GZ151" s="51"/>
      <c r="HA151" s="51"/>
      <c r="HG151" s="51"/>
      <c r="HH151" s="51"/>
      <c r="HN151" s="51"/>
      <c r="HO151" s="51"/>
    </row>
    <row r="152" customFormat="false" ht="15" hidden="false" customHeight="false" outlineLevel="0" collapsed="false">
      <c r="A152" s="0" t="str">
        <f aca="false">'Schedule Engine'!B151</f>
        <v>IW13</v>
      </c>
      <c r="B152" s="0" t="str">
        <f aca="false">'Schedule Engine'!E151</f>
        <v>Rough Grade</v>
      </c>
      <c r="C152" s="0" t="n">
        <f aca="false">'Schedule Engine'!F151</f>
        <v>0</v>
      </c>
      <c r="D152" s="0" t="n">
        <f aca="false">'Schedule Engine'!G151</f>
        <v>0</v>
      </c>
      <c r="E152" s="34" t="n">
        <f aca="false">'Schedule Engine'!N151</f>
        <v>46310</v>
      </c>
      <c r="F152" s="34" t="n">
        <f aca="false">'Schedule Engine'!O151</f>
        <v>46311</v>
      </c>
      <c r="G152" s="0" t="n">
        <f aca="false">'Schedule Engine'!K151</f>
        <v>2</v>
      </c>
      <c r="H152" s="0" t="n">
        <f aca="false">'Schedule Engine'!P151</f>
        <v>0</v>
      </c>
      <c r="L152" s="51"/>
      <c r="M152" s="51"/>
      <c r="S152" s="51"/>
      <c r="T152" s="51"/>
      <c r="Z152" s="51"/>
      <c r="AA152" s="51"/>
      <c r="AG152" s="51"/>
      <c r="AH152" s="51"/>
      <c r="AN152" s="51"/>
      <c r="AO152" s="51"/>
      <c r="AU152" s="51"/>
      <c r="AV152" s="51"/>
      <c r="BB152" s="51"/>
      <c r="BC152" s="51"/>
      <c r="BI152" s="51"/>
      <c r="BJ152" s="51"/>
      <c r="BP152" s="51"/>
      <c r="BQ152" s="51"/>
      <c r="BW152" s="51"/>
      <c r="BX152" s="51"/>
      <c r="CD152" s="51"/>
      <c r="CE152" s="51"/>
      <c r="CK152" s="51"/>
      <c r="CL152" s="51"/>
      <c r="CR152" s="51"/>
      <c r="CS152" s="51"/>
      <c r="CY152" s="51"/>
      <c r="CZ152" s="51"/>
      <c r="DF152" s="51"/>
      <c r="DG152" s="51"/>
      <c r="DM152" s="51"/>
      <c r="DN152" s="51"/>
      <c r="DT152" s="51"/>
      <c r="DU152" s="51"/>
      <c r="EA152" s="51"/>
      <c r="EB152" s="51"/>
      <c r="EH152" s="51"/>
      <c r="EI152" s="51"/>
      <c r="EO152" s="51"/>
      <c r="EP152" s="51"/>
      <c r="EV152" s="51"/>
      <c r="EW152" s="51"/>
      <c r="FC152" s="51"/>
      <c r="FD152" s="51"/>
      <c r="FJ152" s="51"/>
      <c r="FK152" s="51"/>
      <c r="FQ152" s="51"/>
      <c r="FR152" s="51"/>
      <c r="FX152" s="51"/>
      <c r="FY152" s="51"/>
      <c r="GE152" s="51"/>
      <c r="GF152" s="51"/>
      <c r="GL152" s="51"/>
      <c r="GM152" s="51"/>
      <c r="GS152" s="51"/>
      <c r="GT152" s="51"/>
      <c r="GZ152" s="51"/>
      <c r="HA152" s="51"/>
      <c r="HG152" s="51"/>
      <c r="HH152" s="51"/>
      <c r="HN152" s="51"/>
      <c r="HO152" s="51"/>
    </row>
    <row r="153" customFormat="false" ht="15" hidden="false" customHeight="false" outlineLevel="0" collapsed="false">
      <c r="A153" s="0" t="str">
        <f aca="false">'Schedule Engine'!B152</f>
        <v>IW13</v>
      </c>
      <c r="B153" s="0" t="str">
        <f aca="false">'Schedule Engine'!E152</f>
        <v>Irrigation</v>
      </c>
      <c r="C153" s="0" t="str">
        <f aca="false">'Schedule Engine'!F152</f>
        <v>Ramiro</v>
      </c>
      <c r="D153" s="0" t="n">
        <f aca="false">'Schedule Engine'!G152</f>
        <v>0</v>
      </c>
      <c r="E153" s="34" t="n">
        <f aca="false">'Schedule Engine'!N152</f>
        <v>46314</v>
      </c>
      <c r="F153" s="34" t="n">
        <f aca="false">'Schedule Engine'!O152</f>
        <v>46315</v>
      </c>
      <c r="G153" s="0" t="n">
        <f aca="false">'Schedule Engine'!K152</f>
        <v>2</v>
      </c>
      <c r="H153" s="0" t="n">
        <f aca="false">'Schedule Engine'!P152</f>
        <v>0</v>
      </c>
      <c r="L153" s="51"/>
      <c r="M153" s="51"/>
      <c r="S153" s="51"/>
      <c r="T153" s="51"/>
      <c r="Z153" s="51"/>
      <c r="AA153" s="51"/>
      <c r="AG153" s="51"/>
      <c r="AH153" s="51"/>
      <c r="AN153" s="51"/>
      <c r="AO153" s="51"/>
      <c r="AU153" s="51"/>
      <c r="AV153" s="51"/>
      <c r="BB153" s="51"/>
      <c r="BC153" s="51"/>
      <c r="BI153" s="51"/>
      <c r="BJ153" s="51"/>
      <c r="BP153" s="51"/>
      <c r="BQ153" s="51"/>
      <c r="BW153" s="51"/>
      <c r="BX153" s="51"/>
      <c r="CD153" s="51"/>
      <c r="CE153" s="51"/>
      <c r="CK153" s="51"/>
      <c r="CL153" s="51"/>
      <c r="CR153" s="51"/>
      <c r="CS153" s="51"/>
      <c r="CY153" s="51"/>
      <c r="CZ153" s="51"/>
      <c r="DF153" s="51"/>
      <c r="DG153" s="51"/>
      <c r="DM153" s="51"/>
      <c r="DN153" s="51"/>
      <c r="DT153" s="51"/>
      <c r="DU153" s="51"/>
      <c r="EA153" s="51"/>
      <c r="EB153" s="51"/>
      <c r="EH153" s="51"/>
      <c r="EI153" s="51"/>
      <c r="EO153" s="51"/>
      <c r="EP153" s="51"/>
      <c r="EV153" s="51"/>
      <c r="EW153" s="51"/>
      <c r="FC153" s="51"/>
      <c r="FD153" s="51"/>
      <c r="FJ153" s="51"/>
      <c r="FK153" s="51"/>
      <c r="FQ153" s="51"/>
      <c r="FR153" s="51"/>
      <c r="FX153" s="51"/>
      <c r="FY153" s="51"/>
      <c r="GE153" s="51"/>
      <c r="GF153" s="51"/>
      <c r="GL153" s="51"/>
      <c r="GM153" s="51"/>
      <c r="GS153" s="51"/>
      <c r="GT153" s="51"/>
      <c r="GZ153" s="51"/>
      <c r="HA153" s="51"/>
      <c r="HG153" s="51"/>
      <c r="HH153" s="51"/>
      <c r="HN153" s="51"/>
      <c r="HO153" s="51"/>
    </row>
    <row r="154" customFormat="false" ht="15" hidden="false" customHeight="false" outlineLevel="0" collapsed="false">
      <c r="A154" s="0" t="str">
        <f aca="false">'Schedule Engine'!B153</f>
        <v>IW13</v>
      </c>
      <c r="B154" s="0" t="str">
        <f aca="false">'Schedule Engine'!E153</f>
        <v>Finish Grade</v>
      </c>
      <c r="C154" s="0" t="str">
        <f aca="false">'Schedule Engine'!F153</f>
        <v>Jacob Hayden</v>
      </c>
      <c r="D154" s="0" t="n">
        <f aca="false">'Schedule Engine'!G153</f>
        <v>0</v>
      </c>
      <c r="E154" s="34" t="n">
        <f aca="false">'Schedule Engine'!N153</f>
        <v>46316</v>
      </c>
      <c r="F154" s="34" t="n">
        <f aca="false">'Schedule Engine'!O153</f>
        <v>46317</v>
      </c>
      <c r="G154" s="0" t="n">
        <f aca="false">'Schedule Engine'!K153</f>
        <v>2</v>
      </c>
      <c r="H154" s="0" t="n">
        <f aca="false">'Schedule Engine'!P153</f>
        <v>0</v>
      </c>
      <c r="L154" s="51"/>
      <c r="M154" s="51"/>
      <c r="S154" s="51"/>
      <c r="T154" s="51"/>
      <c r="Z154" s="51"/>
      <c r="AA154" s="51"/>
      <c r="AG154" s="51"/>
      <c r="AH154" s="51"/>
      <c r="AN154" s="51"/>
      <c r="AO154" s="51"/>
      <c r="AU154" s="51"/>
      <c r="AV154" s="51"/>
      <c r="BB154" s="51"/>
      <c r="BC154" s="51"/>
      <c r="BI154" s="51"/>
      <c r="BJ154" s="51"/>
      <c r="BP154" s="51"/>
      <c r="BQ154" s="51"/>
      <c r="BW154" s="51"/>
      <c r="BX154" s="51"/>
      <c r="CD154" s="51"/>
      <c r="CE154" s="51"/>
      <c r="CK154" s="51"/>
      <c r="CL154" s="51"/>
      <c r="CR154" s="51"/>
      <c r="CS154" s="51"/>
      <c r="CY154" s="51"/>
      <c r="CZ154" s="51"/>
      <c r="DF154" s="51"/>
      <c r="DG154" s="51"/>
      <c r="DM154" s="51"/>
      <c r="DN154" s="51"/>
      <c r="DT154" s="51"/>
      <c r="DU154" s="51"/>
      <c r="EA154" s="51"/>
      <c r="EB154" s="51"/>
      <c r="EH154" s="51"/>
      <c r="EI154" s="51"/>
      <c r="EO154" s="51"/>
      <c r="EP154" s="51"/>
      <c r="EV154" s="51"/>
      <c r="EW154" s="51"/>
      <c r="FC154" s="51"/>
      <c r="FD154" s="51"/>
      <c r="FJ154" s="51"/>
      <c r="FK154" s="51"/>
      <c r="FQ154" s="51"/>
      <c r="FR154" s="51"/>
      <c r="FX154" s="51"/>
      <c r="FY154" s="51"/>
      <c r="GE154" s="51"/>
      <c r="GF154" s="51"/>
      <c r="GL154" s="51"/>
      <c r="GM154" s="51"/>
      <c r="GS154" s="51"/>
      <c r="GT154" s="51"/>
      <c r="GZ154" s="51"/>
      <c r="HA154" s="51"/>
      <c r="HG154" s="51"/>
      <c r="HH154" s="51"/>
      <c r="HN154" s="51"/>
      <c r="HO154" s="51"/>
    </row>
    <row r="155" customFormat="false" ht="15" hidden="false" customHeight="false" outlineLevel="0" collapsed="false">
      <c r="A155" s="0" t="str">
        <f aca="false">'Schedule Engine'!B154</f>
        <v>IW13</v>
      </c>
      <c r="B155" s="0" t="str">
        <f aca="false">'Schedule Engine'!E154</f>
        <v>Landscaping</v>
      </c>
      <c r="C155" s="0" t="str">
        <f aca="false">'Schedule Engine'!F154</f>
        <v>Jacob Hayden</v>
      </c>
      <c r="D155" s="0" t="n">
        <f aca="false">'Schedule Engine'!G154</f>
        <v>0</v>
      </c>
      <c r="E155" s="34" t="n">
        <f aca="false">'Schedule Engine'!N154</f>
        <v>46316</v>
      </c>
      <c r="F155" s="34" t="n">
        <f aca="false">'Schedule Engine'!O154</f>
        <v>46317</v>
      </c>
      <c r="G155" s="0" t="n">
        <f aca="false">'Schedule Engine'!K154</f>
        <v>2</v>
      </c>
      <c r="H155" s="0" t="n">
        <f aca="false">'Schedule Engine'!P154</f>
        <v>0</v>
      </c>
      <c r="L155" s="51"/>
      <c r="M155" s="51"/>
      <c r="S155" s="51"/>
      <c r="T155" s="51"/>
      <c r="Z155" s="51"/>
      <c r="AA155" s="51"/>
      <c r="AG155" s="51"/>
      <c r="AH155" s="51"/>
      <c r="AN155" s="51"/>
      <c r="AO155" s="51"/>
      <c r="AU155" s="51"/>
      <c r="AV155" s="51"/>
      <c r="BB155" s="51"/>
      <c r="BC155" s="51"/>
      <c r="BI155" s="51"/>
      <c r="BJ155" s="51"/>
      <c r="BP155" s="51"/>
      <c r="BQ155" s="51"/>
      <c r="BW155" s="51"/>
      <c r="BX155" s="51"/>
      <c r="CD155" s="51"/>
      <c r="CE155" s="51"/>
      <c r="CK155" s="51"/>
      <c r="CL155" s="51"/>
      <c r="CR155" s="51"/>
      <c r="CS155" s="51"/>
      <c r="CY155" s="51"/>
      <c r="CZ155" s="51"/>
      <c r="DF155" s="51"/>
      <c r="DG155" s="51"/>
      <c r="DM155" s="51"/>
      <c r="DN155" s="51"/>
      <c r="DT155" s="51"/>
      <c r="DU155" s="51"/>
      <c r="EA155" s="51"/>
      <c r="EB155" s="51"/>
      <c r="EH155" s="51"/>
      <c r="EI155" s="51"/>
      <c r="EO155" s="51"/>
      <c r="EP155" s="51"/>
      <c r="EV155" s="51"/>
      <c r="EW155" s="51"/>
      <c r="FC155" s="51"/>
      <c r="FD155" s="51"/>
      <c r="FJ155" s="51"/>
      <c r="FK155" s="51"/>
      <c r="FQ155" s="51"/>
      <c r="FR155" s="51"/>
      <c r="FX155" s="51"/>
      <c r="FY155" s="51"/>
      <c r="GE155" s="51"/>
      <c r="GF155" s="51"/>
      <c r="GL155" s="51"/>
      <c r="GM155" s="51"/>
      <c r="GS155" s="51"/>
      <c r="GT155" s="51"/>
      <c r="GZ155" s="51"/>
      <c r="HA155" s="51"/>
      <c r="HG155" s="51"/>
      <c r="HH155" s="51"/>
      <c r="HN155" s="51"/>
      <c r="HO155" s="51"/>
    </row>
    <row r="156" customFormat="false" ht="15" hidden="false" customHeight="false" outlineLevel="0" collapsed="false">
      <c r="A156" s="0" t="str">
        <f aca="false">'Schedule Engine'!B155</f>
        <v>IW13</v>
      </c>
      <c r="B156" s="0" t="str">
        <f aca="false">'Schedule Engine'!E155</f>
        <v>Lawn Seeding</v>
      </c>
      <c r="C156" s="0" t="str">
        <f aca="false">'Schedule Engine'!F155</f>
        <v>TruGreen</v>
      </c>
      <c r="D156" s="0" t="n">
        <f aca="false">'Schedule Engine'!G155</f>
        <v>0</v>
      </c>
      <c r="E156" s="34" t="n">
        <f aca="false">'Schedule Engine'!N155</f>
        <v>46318</v>
      </c>
      <c r="F156" s="34" t="n">
        <f aca="false">'Schedule Engine'!O155</f>
        <v>46321</v>
      </c>
      <c r="G156" s="0" t="n">
        <f aca="false">'Schedule Engine'!K155</f>
        <v>2</v>
      </c>
      <c r="H156" s="0" t="n">
        <f aca="false">'Schedule Engine'!P155</f>
        <v>0</v>
      </c>
      <c r="L156" s="51"/>
      <c r="M156" s="51"/>
      <c r="S156" s="51"/>
      <c r="T156" s="51"/>
      <c r="Z156" s="51"/>
      <c r="AA156" s="51"/>
      <c r="AG156" s="51"/>
      <c r="AH156" s="51"/>
      <c r="AN156" s="51"/>
      <c r="AO156" s="51"/>
      <c r="AU156" s="51"/>
      <c r="AV156" s="51"/>
      <c r="BB156" s="51"/>
      <c r="BC156" s="51"/>
      <c r="BI156" s="51"/>
      <c r="BJ156" s="51"/>
      <c r="BP156" s="51"/>
      <c r="BQ156" s="51"/>
      <c r="BW156" s="51"/>
      <c r="BX156" s="51"/>
      <c r="CD156" s="51"/>
      <c r="CE156" s="51"/>
      <c r="CK156" s="51"/>
      <c r="CL156" s="51"/>
      <c r="CR156" s="51"/>
      <c r="CS156" s="51"/>
      <c r="CY156" s="51"/>
      <c r="CZ156" s="51"/>
      <c r="DF156" s="51"/>
      <c r="DG156" s="51"/>
      <c r="DM156" s="51"/>
      <c r="DN156" s="51"/>
      <c r="DT156" s="51"/>
      <c r="DU156" s="51"/>
      <c r="EA156" s="51"/>
      <c r="EB156" s="51"/>
      <c r="EH156" s="51"/>
      <c r="EI156" s="51"/>
      <c r="EO156" s="51"/>
      <c r="EP156" s="51"/>
      <c r="EV156" s="51"/>
      <c r="EW156" s="51"/>
      <c r="FC156" s="51"/>
      <c r="FD156" s="51"/>
      <c r="FJ156" s="51"/>
      <c r="FK156" s="51"/>
      <c r="FQ156" s="51"/>
      <c r="FR156" s="51"/>
      <c r="FX156" s="51"/>
      <c r="FY156" s="51"/>
      <c r="GE156" s="51"/>
      <c r="GF156" s="51"/>
      <c r="GL156" s="51"/>
      <c r="GM156" s="51"/>
      <c r="GS156" s="51"/>
      <c r="GT156" s="51"/>
      <c r="GZ156" s="51"/>
      <c r="HA156" s="51"/>
      <c r="HG156" s="51"/>
      <c r="HH156" s="51"/>
      <c r="HN156" s="51"/>
      <c r="HO156" s="51"/>
    </row>
    <row r="157" customFormat="false" ht="15" hidden="false" customHeight="false" outlineLevel="0" collapsed="false">
      <c r="A157" s="0" t="str">
        <f aca="false">'Schedule Engine'!B156</f>
        <v>IW13</v>
      </c>
      <c r="B157" s="0" t="str">
        <f aca="false">'Schedule Engine'!E156</f>
        <v>Gutter drains</v>
      </c>
      <c r="C157" s="0" t="n">
        <f aca="false">'Schedule Engine'!F156</f>
        <v>0</v>
      </c>
      <c r="D157" s="0" t="n">
        <f aca="false">'Schedule Engine'!G156</f>
        <v>0</v>
      </c>
      <c r="E157" s="34" t="n">
        <f aca="false">'Schedule Engine'!N156</f>
        <v>46314</v>
      </c>
      <c r="F157" s="34" t="n">
        <f aca="false">'Schedule Engine'!O156</f>
        <v>46315</v>
      </c>
      <c r="G157" s="0" t="n">
        <f aca="false">'Schedule Engine'!K156</f>
        <v>2</v>
      </c>
      <c r="H157" s="0" t="n">
        <f aca="false">'Schedule Engine'!P156</f>
        <v>0</v>
      </c>
      <c r="L157" s="51"/>
      <c r="M157" s="51"/>
      <c r="S157" s="51"/>
      <c r="T157" s="51"/>
      <c r="Z157" s="51"/>
      <c r="AA157" s="51"/>
      <c r="AG157" s="51"/>
      <c r="AH157" s="51"/>
      <c r="AN157" s="51"/>
      <c r="AO157" s="51"/>
      <c r="AU157" s="51"/>
      <c r="AV157" s="51"/>
      <c r="BB157" s="51"/>
      <c r="BC157" s="51"/>
      <c r="BI157" s="51"/>
      <c r="BJ157" s="51"/>
      <c r="BP157" s="51"/>
      <c r="BQ157" s="51"/>
      <c r="BW157" s="51"/>
      <c r="BX157" s="51"/>
      <c r="CD157" s="51"/>
      <c r="CE157" s="51"/>
      <c r="CK157" s="51"/>
      <c r="CL157" s="51"/>
      <c r="CR157" s="51"/>
      <c r="CS157" s="51"/>
      <c r="CY157" s="51"/>
      <c r="CZ157" s="51"/>
      <c r="DF157" s="51"/>
      <c r="DG157" s="51"/>
      <c r="DM157" s="51"/>
      <c r="DN157" s="51"/>
      <c r="DT157" s="51"/>
      <c r="DU157" s="51"/>
      <c r="EA157" s="51"/>
      <c r="EB157" s="51"/>
      <c r="EH157" s="51"/>
      <c r="EI157" s="51"/>
      <c r="EO157" s="51"/>
      <c r="EP157" s="51"/>
      <c r="EV157" s="51"/>
      <c r="EW157" s="51"/>
      <c r="FC157" s="51"/>
      <c r="FD157" s="51"/>
      <c r="FJ157" s="51"/>
      <c r="FK157" s="51"/>
      <c r="FQ157" s="51"/>
      <c r="FR157" s="51"/>
      <c r="FX157" s="51"/>
      <c r="FY157" s="51"/>
      <c r="GE157" s="51"/>
      <c r="GF157" s="51"/>
      <c r="GL157" s="51"/>
      <c r="GM157" s="51"/>
      <c r="GS157" s="51"/>
      <c r="GT157" s="51"/>
      <c r="GZ157" s="51"/>
      <c r="HA157" s="51"/>
      <c r="HG157" s="51"/>
      <c r="HH157" s="51"/>
      <c r="HN157" s="51"/>
      <c r="HO157" s="51"/>
    </row>
    <row r="158" customFormat="false" ht="15" hidden="false" customHeight="false" outlineLevel="0" collapsed="false">
      <c r="A158" s="0" t="str">
        <f aca="false">'Schedule Engine'!B157</f>
        <v>IW13</v>
      </c>
      <c r="B158" s="0" t="str">
        <f aca="false">'Schedule Engine'!E157</f>
        <v>HVAC Rough</v>
      </c>
      <c r="C158" s="0" t="str">
        <f aca="false">'Schedule Engine'!F157</f>
        <v>Adco</v>
      </c>
      <c r="D158" s="0" t="n">
        <f aca="false">'Schedule Engine'!G157</f>
        <v>0</v>
      </c>
      <c r="E158" s="34" t="n">
        <f aca="false">'Schedule Engine'!N157</f>
        <v>46276</v>
      </c>
      <c r="F158" s="34" t="n">
        <f aca="false">'Schedule Engine'!O157</f>
        <v>46282</v>
      </c>
      <c r="G158" s="0" t="n">
        <f aca="false">'Schedule Engine'!K157</f>
        <v>5</v>
      </c>
      <c r="H158" s="0" t="n">
        <f aca="false">'Schedule Engine'!P157</f>
        <v>0</v>
      </c>
      <c r="L158" s="51"/>
      <c r="M158" s="51"/>
      <c r="S158" s="51"/>
      <c r="T158" s="51"/>
      <c r="Z158" s="51"/>
      <c r="AA158" s="51"/>
      <c r="AG158" s="51"/>
      <c r="AH158" s="51"/>
      <c r="AN158" s="51"/>
      <c r="AO158" s="51"/>
      <c r="AU158" s="51"/>
      <c r="AV158" s="51"/>
      <c r="BB158" s="51"/>
      <c r="BC158" s="51"/>
      <c r="BI158" s="51"/>
      <c r="BJ158" s="51"/>
      <c r="BP158" s="51"/>
      <c r="BQ158" s="51"/>
      <c r="BW158" s="51"/>
      <c r="BX158" s="51"/>
      <c r="CD158" s="51"/>
      <c r="CE158" s="51"/>
      <c r="CK158" s="51"/>
      <c r="CL158" s="51"/>
      <c r="CR158" s="51"/>
      <c r="CS158" s="51"/>
      <c r="CY158" s="51"/>
      <c r="CZ158" s="51"/>
      <c r="DF158" s="51"/>
      <c r="DG158" s="51"/>
      <c r="DM158" s="51"/>
      <c r="DN158" s="51"/>
      <c r="DT158" s="51"/>
      <c r="DU158" s="51"/>
      <c r="EA158" s="51"/>
      <c r="EB158" s="51"/>
      <c r="EH158" s="51"/>
      <c r="EI158" s="51"/>
      <c r="EO158" s="51"/>
      <c r="EP158" s="51"/>
      <c r="EV158" s="51"/>
      <c r="EW158" s="51"/>
      <c r="FC158" s="51"/>
      <c r="FD158" s="51"/>
      <c r="FJ158" s="51"/>
      <c r="FK158" s="51"/>
      <c r="FQ158" s="51"/>
      <c r="FR158" s="51"/>
      <c r="FX158" s="51"/>
      <c r="FY158" s="51"/>
      <c r="GE158" s="51"/>
      <c r="GF158" s="51"/>
      <c r="GL158" s="51"/>
      <c r="GM158" s="51"/>
      <c r="GS158" s="51"/>
      <c r="GT158" s="51"/>
      <c r="GZ158" s="51"/>
      <c r="HA158" s="51"/>
      <c r="HG158" s="51"/>
      <c r="HH158" s="51"/>
      <c r="HN158" s="51"/>
      <c r="HO158" s="51"/>
    </row>
    <row r="159" customFormat="false" ht="15" hidden="false" customHeight="false" outlineLevel="0" collapsed="false">
      <c r="A159" s="0" t="str">
        <f aca="false">'Schedule Engine'!B158</f>
        <v>IW13</v>
      </c>
      <c r="B159" s="0" t="str">
        <f aca="false">'Schedule Engine'!E158</f>
        <v>Plumbing Rough</v>
      </c>
      <c r="C159" s="0" t="str">
        <f aca="false">'Schedule Engine'!F158</f>
        <v>Hays</v>
      </c>
      <c r="D159" s="0" t="str">
        <f aca="false">'Schedule Engine'!G158</f>
        <v>Hays</v>
      </c>
      <c r="E159" s="34" t="n">
        <f aca="false">'Schedule Engine'!N158</f>
        <v>46276</v>
      </c>
      <c r="F159" s="34" t="n">
        <f aca="false">'Schedule Engine'!O158</f>
        <v>46282</v>
      </c>
      <c r="G159" s="0" t="n">
        <f aca="false">'Schedule Engine'!K158</f>
        <v>5</v>
      </c>
      <c r="H159" s="0" t="n">
        <f aca="false">'Schedule Engine'!P158</f>
        <v>0</v>
      </c>
      <c r="L159" s="51"/>
      <c r="M159" s="51"/>
      <c r="S159" s="51"/>
      <c r="T159" s="51"/>
      <c r="Z159" s="51"/>
      <c r="AA159" s="51"/>
      <c r="AG159" s="51"/>
      <c r="AH159" s="51"/>
      <c r="AN159" s="51"/>
      <c r="AO159" s="51"/>
      <c r="AU159" s="51"/>
      <c r="AV159" s="51"/>
      <c r="BB159" s="51"/>
      <c r="BC159" s="51"/>
      <c r="BI159" s="51"/>
      <c r="BJ159" s="51"/>
      <c r="BP159" s="51"/>
      <c r="BQ159" s="51"/>
      <c r="BW159" s="51"/>
      <c r="BX159" s="51"/>
      <c r="CD159" s="51"/>
      <c r="CE159" s="51"/>
      <c r="CK159" s="51"/>
      <c r="CL159" s="51"/>
      <c r="CR159" s="51"/>
      <c r="CS159" s="51"/>
      <c r="CY159" s="51"/>
      <c r="CZ159" s="51"/>
      <c r="DF159" s="51"/>
      <c r="DG159" s="51"/>
      <c r="DM159" s="51"/>
      <c r="DN159" s="51"/>
      <c r="DT159" s="51"/>
      <c r="DU159" s="51"/>
      <c r="EA159" s="51"/>
      <c r="EB159" s="51"/>
      <c r="EH159" s="51"/>
      <c r="EI159" s="51"/>
      <c r="EO159" s="51"/>
      <c r="EP159" s="51"/>
      <c r="EV159" s="51"/>
      <c r="EW159" s="51"/>
      <c r="FC159" s="51"/>
      <c r="FD159" s="51"/>
      <c r="FJ159" s="51"/>
      <c r="FK159" s="51"/>
      <c r="FQ159" s="51"/>
      <c r="FR159" s="51"/>
      <c r="FX159" s="51"/>
      <c r="FY159" s="51"/>
      <c r="GE159" s="51"/>
      <c r="GF159" s="51"/>
      <c r="GL159" s="51"/>
      <c r="GM159" s="51"/>
      <c r="GS159" s="51"/>
      <c r="GT159" s="51"/>
      <c r="GZ159" s="51"/>
      <c r="HA159" s="51"/>
      <c r="HG159" s="51"/>
      <c r="HH159" s="51"/>
      <c r="HN159" s="51"/>
      <c r="HO159" s="51"/>
    </row>
    <row r="160" customFormat="false" ht="15" hidden="false" customHeight="false" outlineLevel="0" collapsed="false">
      <c r="A160" s="0" t="str">
        <f aca="false">'Schedule Engine'!B159</f>
        <v>IW13</v>
      </c>
      <c r="B160" s="0" t="str">
        <f aca="false">'Schedule Engine'!E159</f>
        <v>Electrical Rough</v>
      </c>
      <c r="C160" s="0" t="str">
        <f aca="false">'Schedule Engine'!F159</f>
        <v>Dave Kaler</v>
      </c>
      <c r="D160" s="0" t="n">
        <f aca="false">'Schedule Engine'!G159</f>
        <v>0</v>
      </c>
      <c r="E160" s="34" t="n">
        <f aca="false">'Schedule Engine'!N159</f>
        <v>46276</v>
      </c>
      <c r="F160" s="34" t="n">
        <f aca="false">'Schedule Engine'!O159</f>
        <v>46289</v>
      </c>
      <c r="G160" s="0" t="n">
        <f aca="false">'Schedule Engine'!K159</f>
        <v>10</v>
      </c>
      <c r="H160" s="0" t="n">
        <f aca="false">'Schedule Engine'!P159</f>
        <v>0</v>
      </c>
      <c r="L160" s="51"/>
      <c r="M160" s="51"/>
      <c r="S160" s="51"/>
      <c r="T160" s="51"/>
      <c r="Z160" s="51"/>
      <c r="AA160" s="51"/>
      <c r="AG160" s="51"/>
      <c r="AH160" s="51"/>
      <c r="AN160" s="51"/>
      <c r="AO160" s="51"/>
      <c r="AU160" s="51"/>
      <c r="AV160" s="51"/>
      <c r="BB160" s="51"/>
      <c r="BC160" s="51"/>
      <c r="BI160" s="51"/>
      <c r="BJ160" s="51"/>
      <c r="BP160" s="51"/>
      <c r="BQ160" s="51"/>
      <c r="BW160" s="51"/>
      <c r="BX160" s="51"/>
      <c r="CD160" s="51"/>
      <c r="CE160" s="51"/>
      <c r="CK160" s="51"/>
      <c r="CL160" s="51"/>
      <c r="CR160" s="51"/>
      <c r="CS160" s="51"/>
      <c r="CY160" s="51"/>
      <c r="CZ160" s="51"/>
      <c r="DF160" s="51"/>
      <c r="DG160" s="51"/>
      <c r="DM160" s="51"/>
      <c r="DN160" s="51"/>
      <c r="DT160" s="51"/>
      <c r="DU160" s="51"/>
      <c r="EA160" s="51"/>
      <c r="EB160" s="51"/>
      <c r="EH160" s="51"/>
      <c r="EI160" s="51"/>
      <c r="EO160" s="51"/>
      <c r="EP160" s="51"/>
      <c r="EV160" s="51"/>
      <c r="EW160" s="51"/>
      <c r="FC160" s="51"/>
      <c r="FD160" s="51"/>
      <c r="FJ160" s="51"/>
      <c r="FK160" s="51"/>
      <c r="FQ160" s="51"/>
      <c r="FR160" s="51"/>
      <c r="FX160" s="51"/>
      <c r="FY160" s="51"/>
      <c r="GE160" s="51"/>
      <c r="GF160" s="51"/>
      <c r="GL160" s="51"/>
      <c r="GM160" s="51"/>
      <c r="GS160" s="51"/>
      <c r="GT160" s="51"/>
      <c r="GZ160" s="51"/>
      <c r="HA160" s="51"/>
      <c r="HG160" s="51"/>
      <c r="HH160" s="51"/>
      <c r="HN160" s="51"/>
      <c r="HO160" s="51"/>
    </row>
    <row r="161" customFormat="false" ht="15" hidden="false" customHeight="false" outlineLevel="0" collapsed="false">
      <c r="A161" s="0" t="str">
        <f aca="false">'Schedule Engine'!B160</f>
        <v>IW13</v>
      </c>
      <c r="B161" s="0" t="str">
        <f aca="false">'Schedule Engine'!E160</f>
        <v>Insulation Walls</v>
      </c>
      <c r="C161" s="0" t="str">
        <f aca="false">'Schedule Engine'!F160</f>
        <v>Tyler Champion</v>
      </c>
      <c r="D161" s="0" t="n">
        <f aca="false">'Schedule Engine'!G160</f>
        <v>0</v>
      </c>
      <c r="E161" s="34" t="n">
        <f aca="false">'Schedule Engine'!N160</f>
        <v>46290</v>
      </c>
      <c r="F161" s="34" t="n">
        <f aca="false">'Schedule Engine'!O160</f>
        <v>46293</v>
      </c>
      <c r="G161" s="0" t="n">
        <f aca="false">'Schedule Engine'!K160</f>
        <v>2</v>
      </c>
      <c r="H161" s="0" t="n">
        <f aca="false">'Schedule Engine'!P160</f>
        <v>0</v>
      </c>
      <c r="L161" s="51"/>
      <c r="M161" s="51"/>
      <c r="S161" s="51"/>
      <c r="T161" s="51"/>
      <c r="Z161" s="51"/>
      <c r="AA161" s="51"/>
      <c r="AG161" s="51"/>
      <c r="AH161" s="51"/>
      <c r="AN161" s="51"/>
      <c r="AO161" s="51"/>
      <c r="AU161" s="51"/>
      <c r="AV161" s="51"/>
      <c r="BB161" s="51"/>
      <c r="BC161" s="51"/>
      <c r="BI161" s="51"/>
      <c r="BJ161" s="51"/>
      <c r="BP161" s="51"/>
      <c r="BQ161" s="51"/>
      <c r="BW161" s="51"/>
      <c r="BX161" s="51"/>
      <c r="CD161" s="51"/>
      <c r="CE161" s="51"/>
      <c r="CK161" s="51"/>
      <c r="CL161" s="51"/>
      <c r="CR161" s="51"/>
      <c r="CS161" s="51"/>
      <c r="CY161" s="51"/>
      <c r="CZ161" s="51"/>
      <c r="DF161" s="51"/>
      <c r="DG161" s="51"/>
      <c r="DM161" s="51"/>
      <c r="DN161" s="51"/>
      <c r="DT161" s="51"/>
      <c r="DU161" s="51"/>
      <c r="EA161" s="51"/>
      <c r="EB161" s="51"/>
      <c r="EH161" s="51"/>
      <c r="EI161" s="51"/>
      <c r="EO161" s="51"/>
      <c r="EP161" s="51"/>
      <c r="EV161" s="51"/>
      <c r="EW161" s="51"/>
      <c r="FC161" s="51"/>
      <c r="FD161" s="51"/>
      <c r="FJ161" s="51"/>
      <c r="FK161" s="51"/>
      <c r="FQ161" s="51"/>
      <c r="FR161" s="51"/>
      <c r="FX161" s="51"/>
      <c r="FY161" s="51"/>
      <c r="GE161" s="51"/>
      <c r="GF161" s="51"/>
      <c r="GL161" s="51"/>
      <c r="GM161" s="51"/>
      <c r="GS161" s="51"/>
      <c r="GT161" s="51"/>
      <c r="GZ161" s="51"/>
      <c r="HA161" s="51"/>
      <c r="HG161" s="51"/>
      <c r="HH161" s="51"/>
      <c r="HN161" s="51"/>
      <c r="HO161" s="51"/>
    </row>
    <row r="162" customFormat="false" ht="15" hidden="false" customHeight="false" outlineLevel="0" collapsed="false">
      <c r="A162" s="0" t="str">
        <f aca="false">'Schedule Engine'!B161</f>
        <v>IW13</v>
      </c>
      <c r="B162" s="0" t="str">
        <f aca="false">'Schedule Engine'!E161</f>
        <v>Sheetrock</v>
      </c>
      <c r="C162" s="0" t="str">
        <f aca="false">'Schedule Engine'!F161</f>
        <v>Bernall Constr.</v>
      </c>
      <c r="D162" s="0" t="n">
        <f aca="false">'Schedule Engine'!G161</f>
        <v>0</v>
      </c>
      <c r="E162" s="34" t="n">
        <f aca="false">'Schedule Engine'!N161</f>
        <v>46294</v>
      </c>
      <c r="F162" s="34" t="n">
        <f aca="false">'Schedule Engine'!O161</f>
        <v>46314</v>
      </c>
      <c r="G162" s="0" t="n">
        <f aca="false">'Schedule Engine'!K161</f>
        <v>15</v>
      </c>
      <c r="H162" s="0" t="n">
        <f aca="false">'Schedule Engine'!P161</f>
        <v>0</v>
      </c>
      <c r="L162" s="51"/>
      <c r="M162" s="51"/>
      <c r="S162" s="51"/>
      <c r="T162" s="51"/>
      <c r="Z162" s="51"/>
      <c r="AA162" s="51"/>
      <c r="AG162" s="51"/>
      <c r="AH162" s="51"/>
      <c r="AN162" s="51"/>
      <c r="AO162" s="51"/>
      <c r="AU162" s="51"/>
      <c r="AV162" s="51"/>
      <c r="BB162" s="51"/>
      <c r="BC162" s="51"/>
      <c r="BI162" s="51"/>
      <c r="BJ162" s="51"/>
      <c r="BP162" s="51"/>
      <c r="BQ162" s="51"/>
      <c r="BW162" s="51"/>
      <c r="BX162" s="51"/>
      <c r="CD162" s="51"/>
      <c r="CE162" s="51"/>
      <c r="CK162" s="51"/>
      <c r="CL162" s="51"/>
      <c r="CR162" s="51"/>
      <c r="CS162" s="51"/>
      <c r="CY162" s="51"/>
      <c r="CZ162" s="51"/>
      <c r="DF162" s="51"/>
      <c r="DG162" s="51"/>
      <c r="DM162" s="51"/>
      <c r="DN162" s="51"/>
      <c r="DT162" s="51"/>
      <c r="DU162" s="51"/>
      <c r="EA162" s="51"/>
      <c r="EB162" s="51"/>
      <c r="EH162" s="51"/>
      <c r="EI162" s="51"/>
      <c r="EO162" s="51"/>
      <c r="EP162" s="51"/>
      <c r="EV162" s="51"/>
      <c r="EW162" s="51"/>
      <c r="FC162" s="51"/>
      <c r="FD162" s="51"/>
      <c r="FJ162" s="51"/>
      <c r="FK162" s="51"/>
      <c r="FQ162" s="51"/>
      <c r="FR162" s="51"/>
      <c r="FX162" s="51"/>
      <c r="FY162" s="51"/>
      <c r="GE162" s="51"/>
      <c r="GF162" s="51"/>
      <c r="GL162" s="51"/>
      <c r="GM162" s="51"/>
      <c r="GS162" s="51"/>
      <c r="GT162" s="51"/>
      <c r="GZ162" s="51"/>
      <c r="HA162" s="51"/>
      <c r="HG162" s="51"/>
      <c r="HH162" s="51"/>
      <c r="HN162" s="51"/>
      <c r="HO162" s="51"/>
    </row>
    <row r="163" customFormat="false" ht="15" hidden="false" customHeight="false" outlineLevel="0" collapsed="false">
      <c r="A163" s="0" t="str">
        <f aca="false">'Schedule Engine'!B162</f>
        <v>IW13</v>
      </c>
      <c r="B163" s="0" t="str">
        <f aca="false">'Schedule Engine'!E162</f>
        <v>Painting Primer</v>
      </c>
      <c r="C163" s="0" t="str">
        <f aca="false">'Schedule Engine'!F162</f>
        <v>L&amp;L Painting</v>
      </c>
      <c r="D163" s="0" t="n">
        <f aca="false">'Schedule Engine'!G162</f>
        <v>0</v>
      </c>
      <c r="E163" s="34" t="n">
        <f aca="false">'Schedule Engine'!N162</f>
        <v>46315</v>
      </c>
      <c r="F163" s="34" t="n">
        <f aca="false">'Schedule Engine'!O162</f>
        <v>46317</v>
      </c>
      <c r="G163" s="0" t="n">
        <f aca="false">'Schedule Engine'!K162</f>
        <v>3</v>
      </c>
      <c r="H163" s="0" t="n">
        <f aca="false">'Schedule Engine'!P162</f>
        <v>0</v>
      </c>
      <c r="L163" s="51"/>
      <c r="M163" s="51"/>
      <c r="S163" s="51"/>
      <c r="T163" s="51"/>
      <c r="Z163" s="51"/>
      <c r="AA163" s="51"/>
      <c r="AG163" s="51"/>
      <c r="AH163" s="51"/>
      <c r="AN163" s="51"/>
      <c r="AO163" s="51"/>
      <c r="AU163" s="51"/>
      <c r="AV163" s="51"/>
      <c r="BB163" s="51"/>
      <c r="BC163" s="51"/>
      <c r="BI163" s="51"/>
      <c r="BJ163" s="51"/>
      <c r="BP163" s="51"/>
      <c r="BQ163" s="51"/>
      <c r="BW163" s="51"/>
      <c r="BX163" s="51"/>
      <c r="CD163" s="51"/>
      <c r="CE163" s="51"/>
      <c r="CK163" s="51"/>
      <c r="CL163" s="51"/>
      <c r="CR163" s="51"/>
      <c r="CS163" s="51"/>
      <c r="CY163" s="51"/>
      <c r="CZ163" s="51"/>
      <c r="DF163" s="51"/>
      <c r="DG163" s="51"/>
      <c r="DM163" s="51"/>
      <c r="DN163" s="51"/>
      <c r="DT163" s="51"/>
      <c r="DU163" s="51"/>
      <c r="EA163" s="51"/>
      <c r="EB163" s="51"/>
      <c r="EH163" s="51"/>
      <c r="EI163" s="51"/>
      <c r="EO163" s="51"/>
      <c r="EP163" s="51"/>
      <c r="EV163" s="51"/>
      <c r="EW163" s="51"/>
      <c r="FC163" s="51"/>
      <c r="FD163" s="51"/>
      <c r="FJ163" s="51"/>
      <c r="FK163" s="51"/>
      <c r="FQ163" s="51"/>
      <c r="FR163" s="51"/>
      <c r="FX163" s="51"/>
      <c r="FY163" s="51"/>
      <c r="GE163" s="51"/>
      <c r="GF163" s="51"/>
      <c r="GL163" s="51"/>
      <c r="GM163" s="51"/>
      <c r="GS163" s="51"/>
      <c r="GT163" s="51"/>
      <c r="GZ163" s="51"/>
      <c r="HA163" s="51"/>
      <c r="HG163" s="51"/>
      <c r="HH163" s="51"/>
      <c r="HN163" s="51"/>
      <c r="HO163" s="51"/>
    </row>
    <row r="164" customFormat="false" ht="15" hidden="false" customHeight="false" outlineLevel="0" collapsed="false">
      <c r="A164" s="0" t="str">
        <f aca="false">'Schedule Engine'!B163</f>
        <v>IW13</v>
      </c>
      <c r="B164" s="0" t="str">
        <f aca="false">'Schedule Engine'!E163</f>
        <v>Garage Doors</v>
      </c>
      <c r="C164" s="0" t="str">
        <f aca="false">'Schedule Engine'!F163</f>
        <v>Danny Liedecher</v>
      </c>
      <c r="D164" s="0" t="n">
        <f aca="false">'Schedule Engine'!G163</f>
        <v>0</v>
      </c>
      <c r="E164" s="34" t="n">
        <f aca="false">'Schedule Engine'!N163</f>
        <v>46318</v>
      </c>
      <c r="F164" s="34" t="n">
        <f aca="false">'Schedule Engine'!O163</f>
        <v>46321</v>
      </c>
      <c r="G164" s="0" t="n">
        <f aca="false">'Schedule Engine'!K163</f>
        <v>2</v>
      </c>
      <c r="H164" s="0" t="n">
        <f aca="false">'Schedule Engine'!P163</f>
        <v>0</v>
      </c>
      <c r="L164" s="51"/>
      <c r="M164" s="51"/>
      <c r="S164" s="51"/>
      <c r="T164" s="51"/>
      <c r="Z164" s="51"/>
      <c r="AA164" s="51"/>
      <c r="AG164" s="51"/>
      <c r="AH164" s="51"/>
      <c r="AN164" s="51"/>
      <c r="AO164" s="51"/>
      <c r="AU164" s="51"/>
      <c r="AV164" s="51"/>
      <c r="BB164" s="51"/>
      <c r="BC164" s="51"/>
      <c r="BI164" s="51"/>
      <c r="BJ164" s="51"/>
      <c r="BP164" s="51"/>
      <c r="BQ164" s="51"/>
      <c r="BW164" s="51"/>
      <c r="BX164" s="51"/>
      <c r="CD164" s="51"/>
      <c r="CE164" s="51"/>
      <c r="CK164" s="51"/>
      <c r="CL164" s="51"/>
      <c r="CR164" s="51"/>
      <c r="CS164" s="51"/>
      <c r="CY164" s="51"/>
      <c r="CZ164" s="51"/>
      <c r="DF164" s="51"/>
      <c r="DG164" s="51"/>
      <c r="DM164" s="51"/>
      <c r="DN164" s="51"/>
      <c r="DT164" s="51"/>
      <c r="DU164" s="51"/>
      <c r="EA164" s="51"/>
      <c r="EB164" s="51"/>
      <c r="EH164" s="51"/>
      <c r="EI164" s="51"/>
      <c r="EO164" s="51"/>
      <c r="EP164" s="51"/>
      <c r="EV164" s="51"/>
      <c r="EW164" s="51"/>
      <c r="FC164" s="51"/>
      <c r="FD164" s="51"/>
      <c r="FJ164" s="51"/>
      <c r="FK164" s="51"/>
      <c r="FQ164" s="51"/>
      <c r="FR164" s="51"/>
      <c r="FX164" s="51"/>
      <c r="FY164" s="51"/>
      <c r="GE164" s="51"/>
      <c r="GF164" s="51"/>
      <c r="GL164" s="51"/>
      <c r="GM164" s="51"/>
      <c r="GS164" s="51"/>
      <c r="GT164" s="51"/>
      <c r="GZ164" s="51"/>
      <c r="HA164" s="51"/>
      <c r="HG164" s="51"/>
      <c r="HH164" s="51"/>
      <c r="HN164" s="51"/>
      <c r="HO164" s="51"/>
    </row>
    <row r="165" customFormat="false" ht="15" hidden="false" customHeight="false" outlineLevel="0" collapsed="false">
      <c r="A165" s="0" t="str">
        <f aca="false">'Schedule Engine'!B164</f>
        <v>IW13</v>
      </c>
      <c r="B165" s="0" t="str">
        <f aca="false">'Schedule Engine'!E164</f>
        <v>Flooring</v>
      </c>
      <c r="C165" s="0" t="str">
        <f aca="false">'Schedule Engine'!F164</f>
        <v>LW Contracting</v>
      </c>
      <c r="D165" s="0" t="n">
        <f aca="false">'Schedule Engine'!G164</f>
        <v>0</v>
      </c>
      <c r="E165" s="34" t="n">
        <f aca="false">'Schedule Engine'!N164</f>
        <v>46318</v>
      </c>
      <c r="F165" s="34" t="n">
        <f aca="false">'Schedule Engine'!O164</f>
        <v>46324</v>
      </c>
      <c r="G165" s="0" t="n">
        <f aca="false">'Schedule Engine'!K164</f>
        <v>5</v>
      </c>
      <c r="H165" s="0" t="n">
        <f aca="false">'Schedule Engine'!P164</f>
        <v>0</v>
      </c>
      <c r="L165" s="51"/>
      <c r="M165" s="51"/>
      <c r="S165" s="51"/>
      <c r="T165" s="51"/>
      <c r="Z165" s="51"/>
      <c r="AA165" s="51"/>
      <c r="AG165" s="51"/>
      <c r="AH165" s="51"/>
      <c r="AN165" s="51"/>
      <c r="AO165" s="51"/>
      <c r="AU165" s="51"/>
      <c r="AV165" s="51"/>
      <c r="BB165" s="51"/>
      <c r="BC165" s="51"/>
      <c r="BI165" s="51"/>
      <c r="BJ165" s="51"/>
      <c r="BP165" s="51"/>
      <c r="BQ165" s="51"/>
      <c r="BW165" s="51"/>
      <c r="BX165" s="51"/>
      <c r="CD165" s="51"/>
      <c r="CE165" s="51"/>
      <c r="CK165" s="51"/>
      <c r="CL165" s="51"/>
      <c r="CR165" s="51"/>
      <c r="CS165" s="51"/>
      <c r="CY165" s="51"/>
      <c r="CZ165" s="51"/>
      <c r="DF165" s="51"/>
      <c r="DG165" s="51"/>
      <c r="DM165" s="51"/>
      <c r="DN165" s="51"/>
      <c r="DT165" s="51"/>
      <c r="DU165" s="51"/>
      <c r="EA165" s="51"/>
      <c r="EB165" s="51"/>
      <c r="EH165" s="51"/>
      <c r="EI165" s="51"/>
      <c r="EO165" s="51"/>
      <c r="EP165" s="51"/>
      <c r="EV165" s="51"/>
      <c r="EW165" s="51"/>
      <c r="FC165" s="51"/>
      <c r="FD165" s="51"/>
      <c r="FJ165" s="51"/>
      <c r="FK165" s="51"/>
      <c r="FQ165" s="51"/>
      <c r="FR165" s="51"/>
      <c r="FX165" s="51"/>
      <c r="FY165" s="51"/>
      <c r="GE165" s="51"/>
      <c r="GF165" s="51"/>
      <c r="GL165" s="51"/>
      <c r="GM165" s="51"/>
      <c r="GS165" s="51"/>
      <c r="GT165" s="51"/>
      <c r="GZ165" s="51"/>
      <c r="HA165" s="51"/>
      <c r="HG165" s="51"/>
      <c r="HH165" s="51"/>
      <c r="HN165" s="51"/>
      <c r="HO165" s="51"/>
    </row>
    <row r="166" customFormat="false" ht="15" hidden="false" customHeight="false" outlineLevel="0" collapsed="false">
      <c r="A166" s="0" t="str">
        <f aca="false">'Schedule Engine'!B165</f>
        <v>IW13</v>
      </c>
      <c r="B166" s="0" t="str">
        <f aca="false">'Schedule Engine'!E165</f>
        <v>Tile Work</v>
      </c>
      <c r="C166" s="0" t="str">
        <f aca="false">'Schedule Engine'!F165</f>
        <v>LW Contracting</v>
      </c>
      <c r="D166" s="0" t="n">
        <f aca="false">'Schedule Engine'!G165</f>
        <v>0</v>
      </c>
      <c r="E166" s="34" t="n">
        <f aca="false">'Schedule Engine'!N165</f>
        <v>46318</v>
      </c>
      <c r="F166" s="34" t="n">
        <f aca="false">'Schedule Engine'!O165</f>
        <v>46329</v>
      </c>
      <c r="G166" s="0" t="n">
        <f aca="false">'Schedule Engine'!K165</f>
        <v>8</v>
      </c>
      <c r="H166" s="0" t="n">
        <f aca="false">'Schedule Engine'!P165</f>
        <v>0</v>
      </c>
      <c r="L166" s="51"/>
      <c r="M166" s="51"/>
      <c r="S166" s="51"/>
      <c r="T166" s="51"/>
      <c r="Z166" s="51"/>
      <c r="AA166" s="51"/>
      <c r="AG166" s="51"/>
      <c r="AH166" s="51"/>
      <c r="AN166" s="51"/>
      <c r="AO166" s="51"/>
      <c r="AU166" s="51"/>
      <c r="AV166" s="51"/>
      <c r="BB166" s="51"/>
      <c r="BC166" s="51"/>
      <c r="BI166" s="51"/>
      <c r="BJ166" s="51"/>
      <c r="BP166" s="51"/>
      <c r="BQ166" s="51"/>
      <c r="BW166" s="51"/>
      <c r="BX166" s="51"/>
      <c r="CD166" s="51"/>
      <c r="CE166" s="51"/>
      <c r="CK166" s="51"/>
      <c r="CL166" s="51"/>
      <c r="CR166" s="51"/>
      <c r="CS166" s="51"/>
      <c r="CY166" s="51"/>
      <c r="CZ166" s="51"/>
      <c r="DF166" s="51"/>
      <c r="DG166" s="51"/>
      <c r="DM166" s="51"/>
      <c r="DN166" s="51"/>
      <c r="DT166" s="51"/>
      <c r="DU166" s="51"/>
      <c r="EA166" s="51"/>
      <c r="EB166" s="51"/>
      <c r="EH166" s="51"/>
      <c r="EI166" s="51"/>
      <c r="EO166" s="51"/>
      <c r="EP166" s="51"/>
      <c r="EV166" s="51"/>
      <c r="EW166" s="51"/>
      <c r="FC166" s="51"/>
      <c r="FD166" s="51"/>
      <c r="FJ166" s="51"/>
      <c r="FK166" s="51"/>
      <c r="FQ166" s="51"/>
      <c r="FR166" s="51"/>
      <c r="FX166" s="51"/>
      <c r="FY166" s="51"/>
      <c r="GE166" s="51"/>
      <c r="GF166" s="51"/>
      <c r="GL166" s="51"/>
      <c r="GM166" s="51"/>
      <c r="GS166" s="51"/>
      <c r="GT166" s="51"/>
      <c r="GZ166" s="51"/>
      <c r="HA166" s="51"/>
      <c r="HG166" s="51"/>
      <c r="HH166" s="51"/>
      <c r="HN166" s="51"/>
      <c r="HO166" s="51"/>
    </row>
    <row r="167" customFormat="false" ht="15" hidden="false" customHeight="false" outlineLevel="0" collapsed="false">
      <c r="A167" s="0" t="str">
        <f aca="false">'Schedule Engine'!B166</f>
        <v>IW13</v>
      </c>
      <c r="B167" s="0" t="str">
        <f aca="false">'Schedule Engine'!E166</f>
        <v>Trim Interior</v>
      </c>
      <c r="C167" s="0" t="str">
        <f aca="false">'Schedule Engine'!F166</f>
        <v>Matt Thorne</v>
      </c>
      <c r="D167" s="0" t="str">
        <f aca="false">'Schedule Engine'!G166</f>
        <v>Matt Thorne</v>
      </c>
      <c r="E167" s="34" t="n">
        <f aca="false">'Schedule Engine'!N166</f>
        <v>46325</v>
      </c>
      <c r="F167" s="34" t="n">
        <f aca="false">'Schedule Engine'!O166</f>
        <v>46352</v>
      </c>
      <c r="G167" s="0" t="n">
        <f aca="false">'Schedule Engine'!K166</f>
        <v>20</v>
      </c>
      <c r="H167" s="0" t="n">
        <f aca="false">'Schedule Engine'!P166</f>
        <v>0</v>
      </c>
      <c r="L167" s="51"/>
      <c r="M167" s="51"/>
      <c r="S167" s="51"/>
      <c r="T167" s="51"/>
      <c r="Z167" s="51"/>
      <c r="AA167" s="51"/>
      <c r="AG167" s="51"/>
      <c r="AH167" s="51"/>
      <c r="AN167" s="51"/>
      <c r="AO167" s="51"/>
      <c r="AU167" s="51"/>
      <c r="AV167" s="51"/>
      <c r="BB167" s="51"/>
      <c r="BC167" s="51"/>
      <c r="BI167" s="51"/>
      <c r="BJ167" s="51"/>
      <c r="BP167" s="51"/>
      <c r="BQ167" s="51"/>
      <c r="BW167" s="51"/>
      <c r="BX167" s="51"/>
      <c r="CD167" s="51"/>
      <c r="CE167" s="51"/>
      <c r="CK167" s="51"/>
      <c r="CL167" s="51"/>
      <c r="CR167" s="51"/>
      <c r="CS167" s="51"/>
      <c r="CY167" s="51"/>
      <c r="CZ167" s="51"/>
      <c r="DF167" s="51"/>
      <c r="DG167" s="51"/>
      <c r="DM167" s="51"/>
      <c r="DN167" s="51"/>
      <c r="DT167" s="51"/>
      <c r="DU167" s="51"/>
      <c r="EA167" s="51"/>
      <c r="EB167" s="51"/>
      <c r="EH167" s="51"/>
      <c r="EI167" s="51"/>
      <c r="EO167" s="51"/>
      <c r="EP167" s="51"/>
      <c r="EV167" s="51"/>
      <c r="EW167" s="51"/>
      <c r="FC167" s="51"/>
      <c r="FD167" s="51"/>
      <c r="FJ167" s="51"/>
      <c r="FK167" s="51"/>
      <c r="FQ167" s="51"/>
      <c r="FR167" s="51"/>
      <c r="FX167" s="51"/>
      <c r="FY167" s="51"/>
      <c r="GE167" s="51"/>
      <c r="GF167" s="51"/>
      <c r="GL167" s="51"/>
      <c r="GM167" s="51"/>
      <c r="GS167" s="51"/>
      <c r="GT167" s="51"/>
      <c r="GZ167" s="51"/>
      <c r="HA167" s="51"/>
      <c r="HG167" s="51"/>
      <c r="HH167" s="51"/>
      <c r="HN167" s="51"/>
      <c r="HO167" s="51"/>
    </row>
    <row r="168" customFormat="false" ht="15" hidden="false" customHeight="false" outlineLevel="0" collapsed="false">
      <c r="A168" s="0" t="str">
        <f aca="false">'Schedule Engine'!B167</f>
        <v>IW13</v>
      </c>
      <c r="B168" s="0" t="str">
        <f aca="false">'Schedule Engine'!E167</f>
        <v>Trim Exterior</v>
      </c>
      <c r="C168" s="0" t="str">
        <f aca="false">'Schedule Engine'!F167</f>
        <v>Matt Thorne</v>
      </c>
      <c r="D168" s="0" t="str">
        <f aca="false">'Schedule Engine'!G167</f>
        <v>Matt Thorne</v>
      </c>
      <c r="E168" s="34" t="n">
        <f aca="false">'Schedule Engine'!N167</f>
        <v>46310</v>
      </c>
      <c r="F168" s="34" t="n">
        <f aca="false">'Schedule Engine'!O167</f>
        <v>46311</v>
      </c>
      <c r="G168" s="0" t="n">
        <f aca="false">'Schedule Engine'!K167</f>
        <v>2</v>
      </c>
      <c r="H168" s="0" t="n">
        <f aca="false">'Schedule Engine'!P167</f>
        <v>0</v>
      </c>
      <c r="L168" s="51"/>
      <c r="M168" s="51"/>
      <c r="S168" s="51"/>
      <c r="T168" s="51"/>
      <c r="Z168" s="51"/>
      <c r="AA168" s="51"/>
      <c r="AG168" s="51"/>
      <c r="AH168" s="51"/>
      <c r="AN168" s="51"/>
      <c r="AO168" s="51"/>
      <c r="AU168" s="51"/>
      <c r="AV168" s="51"/>
      <c r="BB168" s="51"/>
      <c r="BC168" s="51"/>
      <c r="BI168" s="51"/>
      <c r="BJ168" s="51"/>
      <c r="BP168" s="51"/>
      <c r="BQ168" s="51"/>
      <c r="BW168" s="51"/>
      <c r="BX168" s="51"/>
      <c r="CD168" s="51"/>
      <c r="CE168" s="51"/>
      <c r="CK168" s="51"/>
      <c r="CL168" s="51"/>
      <c r="CR168" s="51"/>
      <c r="CS168" s="51"/>
      <c r="CY168" s="51"/>
      <c r="CZ168" s="51"/>
      <c r="DF168" s="51"/>
      <c r="DG168" s="51"/>
      <c r="DM168" s="51"/>
      <c r="DN168" s="51"/>
      <c r="DT168" s="51"/>
      <c r="DU168" s="51"/>
      <c r="EA168" s="51"/>
      <c r="EB168" s="51"/>
      <c r="EH168" s="51"/>
      <c r="EI168" s="51"/>
      <c r="EO168" s="51"/>
      <c r="EP168" s="51"/>
      <c r="EV168" s="51"/>
      <c r="EW168" s="51"/>
      <c r="FC168" s="51"/>
      <c r="FD168" s="51"/>
      <c r="FJ168" s="51"/>
      <c r="FK168" s="51"/>
      <c r="FQ168" s="51"/>
      <c r="FR168" s="51"/>
      <c r="FX168" s="51"/>
      <c r="FY168" s="51"/>
      <c r="GE168" s="51"/>
      <c r="GF168" s="51"/>
      <c r="GL168" s="51"/>
      <c r="GM168" s="51"/>
      <c r="GS168" s="51"/>
      <c r="GT168" s="51"/>
      <c r="GZ168" s="51"/>
      <c r="HA168" s="51"/>
      <c r="HG168" s="51"/>
      <c r="HH168" s="51"/>
      <c r="HN168" s="51"/>
      <c r="HO168" s="51"/>
    </row>
    <row r="169" customFormat="false" ht="15" hidden="false" customHeight="false" outlineLevel="0" collapsed="false">
      <c r="A169" s="0" t="str">
        <f aca="false">'Schedule Engine'!B168</f>
        <v>IW13</v>
      </c>
      <c r="B169" s="0" t="str">
        <f aca="false">'Schedule Engine'!E168</f>
        <v>Cabinets</v>
      </c>
      <c r="C169" s="0" t="str">
        <f aca="false">'Schedule Engine'!F168</f>
        <v>Whittmer</v>
      </c>
      <c r="D169" s="0" t="n">
        <f aca="false">'Schedule Engine'!G168</f>
        <v>0</v>
      </c>
      <c r="E169" s="34" t="n">
        <f aca="false">'Schedule Engine'!N168</f>
        <v>46325</v>
      </c>
      <c r="F169" s="34" t="n">
        <f aca="false">'Schedule Engine'!O168</f>
        <v>46329</v>
      </c>
      <c r="G169" s="0" t="n">
        <f aca="false">'Schedule Engine'!K168</f>
        <v>3</v>
      </c>
      <c r="H169" s="0" t="n">
        <f aca="false">'Schedule Engine'!P168</f>
        <v>0</v>
      </c>
      <c r="L169" s="51"/>
      <c r="M169" s="51"/>
      <c r="S169" s="51"/>
      <c r="T169" s="51"/>
      <c r="Z169" s="51"/>
      <c r="AA169" s="51"/>
      <c r="AG169" s="51"/>
      <c r="AH169" s="51"/>
      <c r="AN169" s="51"/>
      <c r="AO169" s="51"/>
      <c r="AU169" s="51"/>
      <c r="AV169" s="51"/>
      <c r="BB169" s="51"/>
      <c r="BC169" s="51"/>
      <c r="BI169" s="51"/>
      <c r="BJ169" s="51"/>
      <c r="BP169" s="51"/>
      <c r="BQ169" s="51"/>
      <c r="BW169" s="51"/>
      <c r="BX169" s="51"/>
      <c r="CD169" s="51"/>
      <c r="CE169" s="51"/>
      <c r="CK169" s="51"/>
      <c r="CL169" s="51"/>
      <c r="CR169" s="51"/>
      <c r="CS169" s="51"/>
      <c r="CY169" s="51"/>
      <c r="CZ169" s="51"/>
      <c r="DF169" s="51"/>
      <c r="DG169" s="51"/>
      <c r="DM169" s="51"/>
      <c r="DN169" s="51"/>
      <c r="DT169" s="51"/>
      <c r="DU169" s="51"/>
      <c r="EA169" s="51"/>
      <c r="EB169" s="51"/>
      <c r="EH169" s="51"/>
      <c r="EI169" s="51"/>
      <c r="EO169" s="51"/>
      <c r="EP169" s="51"/>
      <c r="EV169" s="51"/>
      <c r="EW169" s="51"/>
      <c r="FC169" s="51"/>
      <c r="FD169" s="51"/>
      <c r="FJ169" s="51"/>
      <c r="FK169" s="51"/>
      <c r="FQ169" s="51"/>
      <c r="FR169" s="51"/>
      <c r="FX169" s="51"/>
      <c r="FY169" s="51"/>
      <c r="GE169" s="51"/>
      <c r="GF169" s="51"/>
      <c r="GL169" s="51"/>
      <c r="GM169" s="51"/>
      <c r="GS169" s="51"/>
      <c r="GT169" s="51"/>
      <c r="GZ169" s="51"/>
      <c r="HA169" s="51"/>
      <c r="HG169" s="51"/>
      <c r="HH169" s="51"/>
      <c r="HN169" s="51"/>
      <c r="HO169" s="51"/>
    </row>
    <row r="170" customFormat="false" ht="15" hidden="false" customHeight="false" outlineLevel="0" collapsed="false">
      <c r="A170" s="0" t="str">
        <f aca="false">'Schedule Engine'!B169</f>
        <v>IW13</v>
      </c>
      <c r="B170" s="0" t="str">
        <f aca="false">'Schedule Engine'!E169</f>
        <v>Countertops</v>
      </c>
      <c r="C170" s="0" t="str">
        <f aca="false">'Schedule Engine'!F169</f>
        <v>Tate Granit</v>
      </c>
      <c r="D170" s="0" t="n">
        <f aca="false">'Schedule Engine'!G169</f>
        <v>0</v>
      </c>
      <c r="E170" s="34" t="n">
        <f aca="false">'Schedule Engine'!N169</f>
        <v>46330</v>
      </c>
      <c r="F170" s="34" t="n">
        <f aca="false">'Schedule Engine'!O169</f>
        <v>46331</v>
      </c>
      <c r="G170" s="0" t="n">
        <f aca="false">'Schedule Engine'!K169</f>
        <v>2</v>
      </c>
      <c r="H170" s="0" t="n">
        <f aca="false">'Schedule Engine'!P169</f>
        <v>0</v>
      </c>
      <c r="L170" s="51"/>
      <c r="M170" s="51"/>
      <c r="S170" s="51"/>
      <c r="T170" s="51"/>
      <c r="Z170" s="51"/>
      <c r="AA170" s="51"/>
      <c r="AG170" s="51"/>
      <c r="AH170" s="51"/>
      <c r="AN170" s="51"/>
      <c r="AO170" s="51"/>
      <c r="AU170" s="51"/>
      <c r="AV170" s="51"/>
      <c r="BB170" s="51"/>
      <c r="BC170" s="51"/>
      <c r="BI170" s="51"/>
      <c r="BJ170" s="51"/>
      <c r="BP170" s="51"/>
      <c r="BQ170" s="51"/>
      <c r="BW170" s="51"/>
      <c r="BX170" s="51"/>
      <c r="CD170" s="51"/>
      <c r="CE170" s="51"/>
      <c r="CK170" s="51"/>
      <c r="CL170" s="51"/>
      <c r="CR170" s="51"/>
      <c r="CS170" s="51"/>
      <c r="CY170" s="51"/>
      <c r="CZ170" s="51"/>
      <c r="DF170" s="51"/>
      <c r="DG170" s="51"/>
      <c r="DM170" s="51"/>
      <c r="DN170" s="51"/>
      <c r="DT170" s="51"/>
      <c r="DU170" s="51"/>
      <c r="EA170" s="51"/>
      <c r="EB170" s="51"/>
      <c r="EH170" s="51"/>
      <c r="EI170" s="51"/>
      <c r="EO170" s="51"/>
      <c r="EP170" s="51"/>
      <c r="EV170" s="51"/>
      <c r="EW170" s="51"/>
      <c r="FC170" s="51"/>
      <c r="FD170" s="51"/>
      <c r="FJ170" s="51"/>
      <c r="FK170" s="51"/>
      <c r="FQ170" s="51"/>
      <c r="FR170" s="51"/>
      <c r="FX170" s="51"/>
      <c r="FY170" s="51"/>
      <c r="GE170" s="51"/>
      <c r="GF170" s="51"/>
      <c r="GL170" s="51"/>
      <c r="GM170" s="51"/>
      <c r="GS170" s="51"/>
      <c r="GT170" s="51"/>
      <c r="GZ170" s="51"/>
      <c r="HA170" s="51"/>
      <c r="HG170" s="51"/>
      <c r="HH170" s="51"/>
      <c r="HN170" s="51"/>
      <c r="HO170" s="51"/>
    </row>
    <row r="171" customFormat="false" ht="15" hidden="false" customHeight="false" outlineLevel="0" collapsed="false">
      <c r="A171" s="0" t="str">
        <f aca="false">'Schedule Engine'!B170</f>
        <v>IW13</v>
      </c>
      <c r="B171" s="0" t="str">
        <f aca="false">'Schedule Engine'!E170</f>
        <v>Painting Main</v>
      </c>
      <c r="C171" s="0" t="str">
        <f aca="false">'Schedule Engine'!F170</f>
        <v>L&amp;L Painting</v>
      </c>
      <c r="D171" s="0" t="n">
        <f aca="false">'Schedule Engine'!G170</f>
        <v>0</v>
      </c>
      <c r="E171" s="34" t="n">
        <f aca="false">'Schedule Engine'!N170</f>
        <v>46332</v>
      </c>
      <c r="F171" s="34" t="n">
        <f aca="false">'Schedule Engine'!O170</f>
        <v>46345</v>
      </c>
      <c r="G171" s="0" t="n">
        <f aca="false">'Schedule Engine'!K170</f>
        <v>10</v>
      </c>
      <c r="H171" s="0" t="n">
        <f aca="false">'Schedule Engine'!P170</f>
        <v>0</v>
      </c>
      <c r="L171" s="51"/>
      <c r="M171" s="51"/>
      <c r="S171" s="51"/>
      <c r="T171" s="51"/>
      <c r="Z171" s="51"/>
      <c r="AA171" s="51"/>
      <c r="AG171" s="51"/>
      <c r="AH171" s="51"/>
      <c r="AN171" s="51"/>
      <c r="AO171" s="51"/>
      <c r="AU171" s="51"/>
      <c r="AV171" s="51"/>
      <c r="BB171" s="51"/>
      <c r="BC171" s="51"/>
      <c r="BI171" s="51"/>
      <c r="BJ171" s="51"/>
      <c r="BP171" s="51"/>
      <c r="BQ171" s="51"/>
      <c r="BW171" s="51"/>
      <c r="BX171" s="51"/>
      <c r="CD171" s="51"/>
      <c r="CE171" s="51"/>
      <c r="CK171" s="51"/>
      <c r="CL171" s="51"/>
      <c r="CR171" s="51"/>
      <c r="CS171" s="51"/>
      <c r="CY171" s="51"/>
      <c r="CZ171" s="51"/>
      <c r="DF171" s="51"/>
      <c r="DG171" s="51"/>
      <c r="DM171" s="51"/>
      <c r="DN171" s="51"/>
      <c r="DT171" s="51"/>
      <c r="DU171" s="51"/>
      <c r="EA171" s="51"/>
      <c r="EB171" s="51"/>
      <c r="EH171" s="51"/>
      <c r="EI171" s="51"/>
      <c r="EO171" s="51"/>
      <c r="EP171" s="51"/>
      <c r="EV171" s="51"/>
      <c r="EW171" s="51"/>
      <c r="FC171" s="51"/>
      <c r="FD171" s="51"/>
      <c r="FJ171" s="51"/>
      <c r="FK171" s="51"/>
      <c r="FQ171" s="51"/>
      <c r="FR171" s="51"/>
      <c r="FX171" s="51"/>
      <c r="FY171" s="51"/>
      <c r="GE171" s="51"/>
      <c r="GF171" s="51"/>
      <c r="GL171" s="51"/>
      <c r="GM171" s="51"/>
      <c r="GS171" s="51"/>
      <c r="GT171" s="51"/>
      <c r="GZ171" s="51"/>
      <c r="HA171" s="51"/>
      <c r="HG171" s="51"/>
      <c r="HH171" s="51"/>
      <c r="HN171" s="51"/>
      <c r="HO171" s="51"/>
    </row>
    <row r="172" customFormat="false" ht="15" hidden="false" customHeight="false" outlineLevel="0" collapsed="false">
      <c r="A172" s="0" t="str">
        <f aca="false">'Schedule Engine'!B171</f>
        <v>IW13</v>
      </c>
      <c r="B172" s="0" t="str">
        <f aca="false">'Schedule Engine'!E171</f>
        <v>Appliances</v>
      </c>
      <c r="C172" s="0" t="str">
        <f aca="false">'Schedule Engine'!F171</f>
        <v>Dave Kaler</v>
      </c>
      <c r="D172" s="0" t="n">
        <f aca="false">'Schedule Engine'!G171</f>
        <v>0</v>
      </c>
      <c r="E172" s="34" t="n">
        <f aca="false">'Schedule Engine'!N171</f>
        <v>46332</v>
      </c>
      <c r="F172" s="34" t="n">
        <f aca="false">'Schedule Engine'!O171</f>
        <v>46335</v>
      </c>
      <c r="G172" s="0" t="n">
        <f aca="false">'Schedule Engine'!K171</f>
        <v>2</v>
      </c>
      <c r="H172" s="0" t="n">
        <f aca="false">'Schedule Engine'!P171</f>
        <v>0</v>
      </c>
      <c r="L172" s="51"/>
      <c r="M172" s="51"/>
      <c r="S172" s="51"/>
      <c r="T172" s="51"/>
      <c r="Z172" s="51"/>
      <c r="AA172" s="51"/>
      <c r="AG172" s="51"/>
      <c r="AH172" s="51"/>
      <c r="AN172" s="51"/>
      <c r="AO172" s="51"/>
      <c r="AU172" s="51"/>
      <c r="AV172" s="51"/>
      <c r="BB172" s="51"/>
      <c r="BC172" s="51"/>
      <c r="BI172" s="51"/>
      <c r="BJ172" s="51"/>
      <c r="BP172" s="51"/>
      <c r="BQ172" s="51"/>
      <c r="BW172" s="51"/>
      <c r="BX172" s="51"/>
      <c r="CD172" s="51"/>
      <c r="CE172" s="51"/>
      <c r="CK172" s="51"/>
      <c r="CL172" s="51"/>
      <c r="CR172" s="51"/>
      <c r="CS172" s="51"/>
      <c r="CY172" s="51"/>
      <c r="CZ172" s="51"/>
      <c r="DF172" s="51"/>
      <c r="DG172" s="51"/>
      <c r="DM172" s="51"/>
      <c r="DN172" s="51"/>
      <c r="DT172" s="51"/>
      <c r="DU172" s="51"/>
      <c r="EA172" s="51"/>
      <c r="EB172" s="51"/>
      <c r="EH172" s="51"/>
      <c r="EI172" s="51"/>
      <c r="EO172" s="51"/>
      <c r="EP172" s="51"/>
      <c r="EV172" s="51"/>
      <c r="EW172" s="51"/>
      <c r="FC172" s="51"/>
      <c r="FD172" s="51"/>
      <c r="FJ172" s="51"/>
      <c r="FK172" s="51"/>
      <c r="FQ172" s="51"/>
      <c r="FR172" s="51"/>
      <c r="FX172" s="51"/>
      <c r="FY172" s="51"/>
      <c r="GE172" s="51"/>
      <c r="GF172" s="51"/>
      <c r="GL172" s="51"/>
      <c r="GM172" s="51"/>
      <c r="GS172" s="51"/>
      <c r="GT172" s="51"/>
      <c r="GZ172" s="51"/>
      <c r="HA172" s="51"/>
      <c r="HG172" s="51"/>
      <c r="HH172" s="51"/>
      <c r="HN172" s="51"/>
      <c r="HO172" s="51"/>
    </row>
    <row r="173" customFormat="false" ht="15" hidden="false" customHeight="false" outlineLevel="0" collapsed="false">
      <c r="A173" s="0" t="str">
        <f aca="false">'Schedule Engine'!B172</f>
        <v>IW13</v>
      </c>
      <c r="B173" s="0" t="str">
        <f aca="false">'Schedule Engine'!E172</f>
        <v>HVAC Finish</v>
      </c>
      <c r="C173" s="0" t="str">
        <f aca="false">'Schedule Engine'!F172</f>
        <v>Adco</v>
      </c>
      <c r="D173" s="0" t="n">
        <f aca="false">'Schedule Engine'!G172</f>
        <v>0</v>
      </c>
      <c r="E173" s="34" t="n">
        <f aca="false">'Schedule Engine'!N172</f>
        <v>46346</v>
      </c>
      <c r="F173" s="34" t="n">
        <f aca="false">'Schedule Engine'!O172</f>
        <v>46349</v>
      </c>
      <c r="G173" s="0" t="n">
        <f aca="false">'Schedule Engine'!K172</f>
        <v>2</v>
      </c>
      <c r="H173" s="0" t="n">
        <f aca="false">'Schedule Engine'!P172</f>
        <v>0</v>
      </c>
      <c r="L173" s="51"/>
      <c r="M173" s="51"/>
      <c r="S173" s="51"/>
      <c r="T173" s="51"/>
      <c r="Z173" s="51"/>
      <c r="AA173" s="51"/>
      <c r="AG173" s="51"/>
      <c r="AH173" s="51"/>
      <c r="AN173" s="51"/>
      <c r="AO173" s="51"/>
      <c r="AU173" s="51"/>
      <c r="AV173" s="51"/>
      <c r="BB173" s="51"/>
      <c r="BC173" s="51"/>
      <c r="BI173" s="51"/>
      <c r="BJ173" s="51"/>
      <c r="BP173" s="51"/>
      <c r="BQ173" s="51"/>
      <c r="BW173" s="51"/>
      <c r="BX173" s="51"/>
      <c r="CD173" s="51"/>
      <c r="CE173" s="51"/>
      <c r="CK173" s="51"/>
      <c r="CL173" s="51"/>
      <c r="CR173" s="51"/>
      <c r="CS173" s="51"/>
      <c r="CY173" s="51"/>
      <c r="CZ173" s="51"/>
      <c r="DF173" s="51"/>
      <c r="DG173" s="51"/>
      <c r="DM173" s="51"/>
      <c r="DN173" s="51"/>
      <c r="DT173" s="51"/>
      <c r="DU173" s="51"/>
      <c r="EA173" s="51"/>
      <c r="EB173" s="51"/>
      <c r="EH173" s="51"/>
      <c r="EI173" s="51"/>
      <c r="EO173" s="51"/>
      <c r="EP173" s="51"/>
      <c r="EV173" s="51"/>
      <c r="EW173" s="51"/>
      <c r="FC173" s="51"/>
      <c r="FD173" s="51"/>
      <c r="FJ173" s="51"/>
      <c r="FK173" s="51"/>
      <c r="FQ173" s="51"/>
      <c r="FR173" s="51"/>
      <c r="FX173" s="51"/>
      <c r="FY173" s="51"/>
      <c r="GE173" s="51"/>
      <c r="GF173" s="51"/>
      <c r="GL173" s="51"/>
      <c r="GM173" s="51"/>
      <c r="GS173" s="51"/>
      <c r="GT173" s="51"/>
      <c r="GZ173" s="51"/>
      <c r="HA173" s="51"/>
      <c r="HG173" s="51"/>
      <c r="HH173" s="51"/>
      <c r="HN173" s="51"/>
      <c r="HO173" s="51"/>
    </row>
    <row r="174" customFormat="false" ht="15" hidden="false" customHeight="false" outlineLevel="0" collapsed="false">
      <c r="A174" s="0" t="str">
        <f aca="false">'Schedule Engine'!B173</f>
        <v>IW13</v>
      </c>
      <c r="B174" s="0" t="str">
        <f aca="false">'Schedule Engine'!E173</f>
        <v>Plumbing Finish</v>
      </c>
      <c r="C174" s="0" t="str">
        <f aca="false">'Schedule Engine'!F173</f>
        <v>Hays</v>
      </c>
      <c r="D174" s="0" t="str">
        <f aca="false">'Schedule Engine'!G173</f>
        <v>Hays</v>
      </c>
      <c r="E174" s="34" t="n">
        <f aca="false">'Schedule Engine'!N173</f>
        <v>46332</v>
      </c>
      <c r="F174" s="34" t="n">
        <f aca="false">'Schedule Engine'!O173</f>
        <v>46335</v>
      </c>
      <c r="G174" s="0" t="n">
        <f aca="false">'Schedule Engine'!K173</f>
        <v>2</v>
      </c>
      <c r="H174" s="0" t="n">
        <f aca="false">'Schedule Engine'!P173</f>
        <v>0</v>
      </c>
      <c r="L174" s="51"/>
      <c r="M174" s="51"/>
      <c r="S174" s="51"/>
      <c r="T174" s="51"/>
      <c r="Z174" s="51"/>
      <c r="AA174" s="51"/>
      <c r="AG174" s="51"/>
      <c r="AH174" s="51"/>
      <c r="AN174" s="51"/>
      <c r="AO174" s="51"/>
      <c r="AU174" s="51"/>
      <c r="AV174" s="51"/>
      <c r="BB174" s="51"/>
      <c r="BC174" s="51"/>
      <c r="BI174" s="51"/>
      <c r="BJ174" s="51"/>
      <c r="BP174" s="51"/>
      <c r="BQ174" s="51"/>
      <c r="BW174" s="51"/>
      <c r="BX174" s="51"/>
      <c r="CD174" s="51"/>
      <c r="CE174" s="51"/>
      <c r="CK174" s="51"/>
      <c r="CL174" s="51"/>
      <c r="CR174" s="51"/>
      <c r="CS174" s="51"/>
      <c r="CY174" s="51"/>
      <c r="CZ174" s="51"/>
      <c r="DF174" s="51"/>
      <c r="DG174" s="51"/>
      <c r="DM174" s="51"/>
      <c r="DN174" s="51"/>
      <c r="DT174" s="51"/>
      <c r="DU174" s="51"/>
      <c r="EA174" s="51"/>
      <c r="EB174" s="51"/>
      <c r="EH174" s="51"/>
      <c r="EI174" s="51"/>
      <c r="EO174" s="51"/>
      <c r="EP174" s="51"/>
      <c r="EV174" s="51"/>
      <c r="EW174" s="51"/>
      <c r="FC174" s="51"/>
      <c r="FD174" s="51"/>
      <c r="FJ174" s="51"/>
      <c r="FK174" s="51"/>
      <c r="FQ174" s="51"/>
      <c r="FR174" s="51"/>
      <c r="FX174" s="51"/>
      <c r="FY174" s="51"/>
      <c r="GE174" s="51"/>
      <c r="GF174" s="51"/>
      <c r="GL174" s="51"/>
      <c r="GM174" s="51"/>
      <c r="GS174" s="51"/>
      <c r="GT174" s="51"/>
      <c r="GZ174" s="51"/>
      <c r="HA174" s="51"/>
      <c r="HG174" s="51"/>
      <c r="HH174" s="51"/>
      <c r="HN174" s="51"/>
      <c r="HO174" s="51"/>
    </row>
    <row r="175" customFormat="false" ht="15" hidden="false" customHeight="false" outlineLevel="0" collapsed="false">
      <c r="A175" s="0" t="str">
        <f aca="false">'Schedule Engine'!B174</f>
        <v>IW13</v>
      </c>
      <c r="B175" s="0" t="str">
        <f aca="false">'Schedule Engine'!E174</f>
        <v>Electrical Finish</v>
      </c>
      <c r="C175" s="0" t="str">
        <f aca="false">'Schedule Engine'!F174</f>
        <v>Dave Kaler</v>
      </c>
      <c r="D175" s="0" t="n">
        <f aca="false">'Schedule Engine'!G174</f>
        <v>0</v>
      </c>
      <c r="E175" s="34" t="n">
        <f aca="false">'Schedule Engine'!N174</f>
        <v>46346</v>
      </c>
      <c r="F175" s="34" t="n">
        <f aca="false">'Schedule Engine'!O174</f>
        <v>46351</v>
      </c>
      <c r="G175" s="0" t="n">
        <f aca="false">'Schedule Engine'!K174</f>
        <v>4</v>
      </c>
      <c r="H175" s="0" t="n">
        <f aca="false">'Schedule Engine'!P174</f>
        <v>0</v>
      </c>
      <c r="L175" s="51"/>
      <c r="M175" s="51"/>
      <c r="S175" s="51"/>
      <c r="T175" s="51"/>
      <c r="Z175" s="51"/>
      <c r="AA175" s="51"/>
      <c r="AG175" s="51"/>
      <c r="AH175" s="51"/>
      <c r="AN175" s="51"/>
      <c r="AO175" s="51"/>
      <c r="AU175" s="51"/>
      <c r="AV175" s="51"/>
      <c r="BB175" s="51"/>
      <c r="BC175" s="51"/>
      <c r="BI175" s="51"/>
      <c r="BJ175" s="51"/>
      <c r="BP175" s="51"/>
      <c r="BQ175" s="51"/>
      <c r="BW175" s="51"/>
      <c r="BX175" s="51"/>
      <c r="CD175" s="51"/>
      <c r="CE175" s="51"/>
      <c r="CK175" s="51"/>
      <c r="CL175" s="51"/>
      <c r="CR175" s="51"/>
      <c r="CS175" s="51"/>
      <c r="CY175" s="51"/>
      <c r="CZ175" s="51"/>
      <c r="DF175" s="51"/>
      <c r="DG175" s="51"/>
      <c r="DM175" s="51"/>
      <c r="DN175" s="51"/>
      <c r="DT175" s="51"/>
      <c r="DU175" s="51"/>
      <c r="EA175" s="51"/>
      <c r="EB175" s="51"/>
      <c r="EH175" s="51"/>
      <c r="EI175" s="51"/>
      <c r="EO175" s="51"/>
      <c r="EP175" s="51"/>
      <c r="EV175" s="51"/>
      <c r="EW175" s="51"/>
      <c r="FC175" s="51"/>
      <c r="FD175" s="51"/>
      <c r="FJ175" s="51"/>
      <c r="FK175" s="51"/>
      <c r="FQ175" s="51"/>
      <c r="FR175" s="51"/>
      <c r="FX175" s="51"/>
      <c r="FY175" s="51"/>
      <c r="GE175" s="51"/>
      <c r="GF175" s="51"/>
      <c r="GL175" s="51"/>
      <c r="GM175" s="51"/>
      <c r="GS175" s="51"/>
      <c r="GT175" s="51"/>
      <c r="GZ175" s="51"/>
      <c r="HA175" s="51"/>
      <c r="HG175" s="51"/>
      <c r="HH175" s="51"/>
      <c r="HN175" s="51"/>
      <c r="HO175" s="51"/>
    </row>
    <row r="176" customFormat="false" ht="15" hidden="false" customHeight="false" outlineLevel="0" collapsed="false">
      <c r="A176" s="0" t="str">
        <f aca="false">'Schedule Engine'!B175</f>
        <v>IW13</v>
      </c>
      <c r="B176" s="0" t="str">
        <f aca="false">'Schedule Engine'!E175</f>
        <v>Insulation Ceiling</v>
      </c>
      <c r="C176" s="0" t="str">
        <f aca="false">'Schedule Engine'!F175</f>
        <v>Tyler Champion</v>
      </c>
      <c r="D176" s="0" t="n">
        <f aca="false">'Schedule Engine'!G175</f>
        <v>0</v>
      </c>
      <c r="E176" s="34" t="n">
        <f aca="false">'Schedule Engine'!N175</f>
        <v>46352</v>
      </c>
      <c r="F176" s="34" t="n">
        <f aca="false">'Schedule Engine'!O175</f>
        <v>46353</v>
      </c>
      <c r="G176" s="0" t="n">
        <f aca="false">'Schedule Engine'!K175</f>
        <v>2</v>
      </c>
      <c r="H176" s="0" t="n">
        <f aca="false">'Schedule Engine'!P175</f>
        <v>0</v>
      </c>
      <c r="L176" s="51"/>
      <c r="M176" s="51"/>
      <c r="S176" s="51"/>
      <c r="T176" s="51"/>
      <c r="Z176" s="51"/>
      <c r="AA176" s="51"/>
      <c r="AG176" s="51"/>
      <c r="AH176" s="51"/>
      <c r="AN176" s="51"/>
      <c r="AO176" s="51"/>
      <c r="AU176" s="51"/>
      <c r="AV176" s="51"/>
      <c r="BB176" s="51"/>
      <c r="BC176" s="51"/>
      <c r="BI176" s="51"/>
      <c r="BJ176" s="51"/>
      <c r="BP176" s="51"/>
      <c r="BQ176" s="51"/>
      <c r="BW176" s="51"/>
      <c r="BX176" s="51"/>
      <c r="CD176" s="51"/>
      <c r="CE176" s="51"/>
      <c r="CK176" s="51"/>
      <c r="CL176" s="51"/>
      <c r="CR176" s="51"/>
      <c r="CS176" s="51"/>
      <c r="CY176" s="51"/>
      <c r="CZ176" s="51"/>
      <c r="DF176" s="51"/>
      <c r="DG176" s="51"/>
      <c r="DM176" s="51"/>
      <c r="DN176" s="51"/>
      <c r="DT176" s="51"/>
      <c r="DU176" s="51"/>
      <c r="EA176" s="51"/>
      <c r="EB176" s="51"/>
      <c r="EH176" s="51"/>
      <c r="EI176" s="51"/>
      <c r="EO176" s="51"/>
      <c r="EP176" s="51"/>
      <c r="EV176" s="51"/>
      <c r="EW176" s="51"/>
      <c r="FC176" s="51"/>
      <c r="FD176" s="51"/>
      <c r="FJ176" s="51"/>
      <c r="FK176" s="51"/>
      <c r="FQ176" s="51"/>
      <c r="FR176" s="51"/>
      <c r="FX176" s="51"/>
      <c r="FY176" s="51"/>
      <c r="GE176" s="51"/>
      <c r="GF176" s="51"/>
      <c r="GL176" s="51"/>
      <c r="GM176" s="51"/>
      <c r="GS176" s="51"/>
      <c r="GT176" s="51"/>
      <c r="GZ176" s="51"/>
      <c r="HA176" s="51"/>
      <c r="HG176" s="51"/>
      <c r="HH176" s="51"/>
      <c r="HN176" s="51"/>
      <c r="HO176" s="51"/>
    </row>
    <row r="177" customFormat="false" ht="15" hidden="false" customHeight="false" outlineLevel="0" collapsed="false">
      <c r="A177" s="0" t="str">
        <f aca="false">'Schedule Engine'!B176</f>
        <v>IW13</v>
      </c>
      <c r="B177" s="0" t="str">
        <f aca="false">'Schedule Engine'!E176</f>
        <v>Painting Finish</v>
      </c>
      <c r="C177" s="0" t="str">
        <f aca="false">'Schedule Engine'!F176</f>
        <v>L&amp;L Painting</v>
      </c>
      <c r="D177" s="0" t="n">
        <f aca="false">'Schedule Engine'!G176</f>
        <v>0</v>
      </c>
      <c r="E177" s="34" t="n">
        <f aca="false">'Schedule Engine'!N176</f>
        <v>46352</v>
      </c>
      <c r="F177" s="34" t="n">
        <f aca="false">'Schedule Engine'!O176</f>
        <v>46358</v>
      </c>
      <c r="G177" s="0" t="n">
        <f aca="false">'Schedule Engine'!K176</f>
        <v>5</v>
      </c>
      <c r="H177" s="0" t="n">
        <f aca="false">'Schedule Engine'!P176</f>
        <v>0</v>
      </c>
      <c r="L177" s="51"/>
      <c r="M177" s="51"/>
      <c r="S177" s="51"/>
      <c r="T177" s="51"/>
      <c r="Z177" s="51"/>
      <c r="AA177" s="51"/>
      <c r="AG177" s="51"/>
      <c r="AH177" s="51"/>
      <c r="AN177" s="51"/>
      <c r="AO177" s="51"/>
      <c r="AU177" s="51"/>
      <c r="AV177" s="51"/>
      <c r="BB177" s="51"/>
      <c r="BC177" s="51"/>
      <c r="BI177" s="51"/>
      <c r="BJ177" s="51"/>
      <c r="BP177" s="51"/>
      <c r="BQ177" s="51"/>
      <c r="BW177" s="51"/>
      <c r="BX177" s="51"/>
      <c r="CD177" s="51"/>
      <c r="CE177" s="51"/>
      <c r="CK177" s="51"/>
      <c r="CL177" s="51"/>
      <c r="CR177" s="51"/>
      <c r="CS177" s="51"/>
      <c r="CY177" s="51"/>
      <c r="CZ177" s="51"/>
      <c r="DF177" s="51"/>
      <c r="DG177" s="51"/>
      <c r="DM177" s="51"/>
      <c r="DN177" s="51"/>
      <c r="DT177" s="51"/>
      <c r="DU177" s="51"/>
      <c r="EA177" s="51"/>
      <c r="EB177" s="51"/>
      <c r="EH177" s="51"/>
      <c r="EI177" s="51"/>
      <c r="EO177" s="51"/>
      <c r="EP177" s="51"/>
      <c r="EV177" s="51"/>
      <c r="EW177" s="51"/>
      <c r="FC177" s="51"/>
      <c r="FD177" s="51"/>
      <c r="FJ177" s="51"/>
      <c r="FK177" s="51"/>
      <c r="FQ177" s="51"/>
      <c r="FR177" s="51"/>
      <c r="FX177" s="51"/>
      <c r="FY177" s="51"/>
      <c r="GE177" s="51"/>
      <c r="GF177" s="51"/>
      <c r="GL177" s="51"/>
      <c r="GM177" s="51"/>
      <c r="GS177" s="51"/>
      <c r="GT177" s="51"/>
      <c r="GZ177" s="51"/>
      <c r="HA177" s="51"/>
      <c r="HG177" s="51"/>
      <c r="HH177" s="51"/>
      <c r="HN177" s="51"/>
      <c r="HO177" s="51"/>
    </row>
    <row r="178" customFormat="false" ht="15" hidden="false" customHeight="false" outlineLevel="0" collapsed="false">
      <c r="A178" s="0" t="str">
        <f aca="false">'Schedule Engine'!B177</f>
        <v>IW13</v>
      </c>
      <c r="B178" s="0" t="str">
        <f aca="false">'Schedule Engine'!E177</f>
        <v>Cleaning</v>
      </c>
      <c r="C178" s="0" t="str">
        <f aca="false">'Schedule Engine'!F177</f>
        <v>Angies Cleaning</v>
      </c>
      <c r="D178" s="0" t="n">
        <f aca="false">'Schedule Engine'!G177</f>
        <v>0</v>
      </c>
      <c r="E178" s="34" t="n">
        <f aca="false">'Schedule Engine'!N177</f>
        <v>46359</v>
      </c>
      <c r="F178" s="34" t="n">
        <f aca="false">'Schedule Engine'!O177</f>
        <v>46363</v>
      </c>
      <c r="G178" s="0" t="n">
        <f aca="false">'Schedule Engine'!K177</f>
        <v>3</v>
      </c>
      <c r="H178" s="0" t="n">
        <f aca="false">'Schedule Engine'!P177</f>
        <v>0</v>
      </c>
      <c r="L178" s="51"/>
      <c r="M178" s="51"/>
      <c r="S178" s="51"/>
      <c r="T178" s="51"/>
      <c r="Z178" s="51"/>
      <c r="AA178" s="51"/>
      <c r="AG178" s="51"/>
      <c r="AH178" s="51"/>
      <c r="AN178" s="51"/>
      <c r="AO178" s="51"/>
      <c r="AU178" s="51"/>
      <c r="AV178" s="51"/>
      <c r="BB178" s="51"/>
      <c r="BC178" s="51"/>
      <c r="BI178" s="51"/>
      <c r="BJ178" s="51"/>
      <c r="BP178" s="51"/>
      <c r="BQ178" s="51"/>
      <c r="BW178" s="51"/>
      <c r="BX178" s="51"/>
      <c r="CD178" s="51"/>
      <c r="CE178" s="51"/>
      <c r="CK178" s="51"/>
      <c r="CL178" s="51"/>
      <c r="CR178" s="51"/>
      <c r="CS178" s="51"/>
      <c r="CY178" s="51"/>
      <c r="CZ178" s="51"/>
      <c r="DF178" s="51"/>
      <c r="DG178" s="51"/>
      <c r="DM178" s="51"/>
      <c r="DN178" s="51"/>
      <c r="DT178" s="51"/>
      <c r="DU178" s="51"/>
      <c r="EA178" s="51"/>
      <c r="EB178" s="51"/>
      <c r="EH178" s="51"/>
      <c r="EI178" s="51"/>
      <c r="EO178" s="51"/>
      <c r="EP178" s="51"/>
      <c r="EV178" s="51"/>
      <c r="EW178" s="51"/>
      <c r="FC178" s="51"/>
      <c r="FD178" s="51"/>
      <c r="FJ178" s="51"/>
      <c r="FK178" s="51"/>
      <c r="FQ178" s="51"/>
      <c r="FR178" s="51"/>
      <c r="FX178" s="51"/>
      <c r="FY178" s="51"/>
      <c r="GE178" s="51"/>
      <c r="GF178" s="51"/>
      <c r="GL178" s="51"/>
      <c r="GM178" s="51"/>
      <c r="GS178" s="51"/>
      <c r="GT178" s="51"/>
      <c r="GZ178" s="51"/>
      <c r="HA178" s="51"/>
      <c r="HG178" s="51"/>
      <c r="HH178" s="51"/>
      <c r="HN178" s="51"/>
      <c r="HO178" s="51"/>
    </row>
    <row r="179" customFormat="false" ht="15" hidden="false" customHeight="false" outlineLevel="0" collapsed="false">
      <c r="A179" s="0" t="str">
        <f aca="false">'Schedule Engine'!B178</f>
        <v>IW14</v>
      </c>
      <c r="B179" s="0" t="str">
        <f aca="false">'Schedule Engine'!E178</f>
        <v>Estimate</v>
      </c>
      <c r="C179" s="0" t="str">
        <f aca="false">'Schedule Engine'!F178</f>
        <v>Willett &amp; Assoc.</v>
      </c>
      <c r="D179" s="0" t="n">
        <f aca="false">'Schedule Engine'!G178</f>
        <v>0</v>
      </c>
      <c r="E179" s="34" t="n">
        <f aca="false">'Schedule Engine'!N178</f>
        <v>46197</v>
      </c>
      <c r="F179" s="34" t="n">
        <f aca="false">'Schedule Engine'!O178</f>
        <v>46210</v>
      </c>
      <c r="G179" s="0" t="n">
        <f aca="false">'Schedule Engine'!K178</f>
        <v>10</v>
      </c>
      <c r="H179" s="0" t="n">
        <f aca="false">'Schedule Engine'!P178</f>
        <v>0</v>
      </c>
      <c r="L179" s="51"/>
      <c r="M179" s="51"/>
      <c r="S179" s="51"/>
      <c r="T179" s="51"/>
      <c r="Z179" s="51"/>
      <c r="AA179" s="51"/>
      <c r="AG179" s="51"/>
      <c r="AH179" s="51"/>
      <c r="AN179" s="51"/>
      <c r="AO179" s="51"/>
      <c r="AU179" s="51"/>
      <c r="AV179" s="51"/>
      <c r="BB179" s="51"/>
      <c r="BC179" s="51"/>
      <c r="BI179" s="51"/>
      <c r="BJ179" s="51"/>
      <c r="BP179" s="51"/>
      <c r="BQ179" s="51"/>
      <c r="BW179" s="51"/>
      <c r="BX179" s="51"/>
      <c r="CD179" s="51"/>
      <c r="CE179" s="51"/>
      <c r="CK179" s="51"/>
      <c r="CL179" s="51"/>
      <c r="CR179" s="51"/>
      <c r="CS179" s="51"/>
      <c r="CY179" s="51"/>
      <c r="CZ179" s="51"/>
      <c r="DF179" s="51"/>
      <c r="DG179" s="51"/>
      <c r="DM179" s="51"/>
      <c r="DN179" s="51"/>
      <c r="DT179" s="51"/>
      <c r="DU179" s="51"/>
      <c r="EA179" s="51"/>
      <c r="EB179" s="51"/>
      <c r="EH179" s="51"/>
      <c r="EI179" s="51"/>
      <c r="EO179" s="51"/>
      <c r="EP179" s="51"/>
      <c r="EV179" s="51"/>
      <c r="EW179" s="51"/>
      <c r="FC179" s="51"/>
      <c r="FD179" s="51"/>
      <c r="FJ179" s="51"/>
      <c r="FK179" s="51"/>
      <c r="FQ179" s="51"/>
      <c r="FR179" s="51"/>
      <c r="FX179" s="51"/>
      <c r="FY179" s="51"/>
      <c r="GE179" s="51"/>
      <c r="GF179" s="51"/>
      <c r="GL179" s="51"/>
      <c r="GM179" s="51"/>
      <c r="GS179" s="51"/>
      <c r="GT179" s="51"/>
      <c r="GZ179" s="51"/>
      <c r="HA179" s="51"/>
      <c r="HG179" s="51"/>
      <c r="HH179" s="51"/>
      <c r="HN179" s="51"/>
      <c r="HO179" s="51"/>
    </row>
    <row r="180" customFormat="false" ht="15" hidden="false" customHeight="false" outlineLevel="0" collapsed="false">
      <c r="A180" s="0" t="str">
        <f aca="false">'Schedule Engine'!B179</f>
        <v>IW14</v>
      </c>
      <c r="B180" s="0" t="str">
        <f aca="false">'Schedule Engine'!E179</f>
        <v>Clearing</v>
      </c>
      <c r="C180" s="0" t="str">
        <f aca="false">'Schedule Engine'!F179</f>
        <v>Willett &amp; Assoc.</v>
      </c>
      <c r="D180" s="0" t="n">
        <f aca="false">'Schedule Engine'!G179</f>
        <v>0</v>
      </c>
      <c r="E180" s="34" t="n">
        <f aca="false">'Schedule Engine'!N179</f>
        <v>46211</v>
      </c>
      <c r="F180" s="34" t="n">
        <f aca="false">'Schedule Engine'!O179</f>
        <v>46213</v>
      </c>
      <c r="G180" s="0" t="n">
        <f aca="false">'Schedule Engine'!K179</f>
        <v>3</v>
      </c>
      <c r="H180" s="0" t="n">
        <f aca="false">'Schedule Engine'!P179</f>
        <v>0</v>
      </c>
      <c r="L180" s="51"/>
      <c r="M180" s="51"/>
      <c r="S180" s="51"/>
      <c r="T180" s="51"/>
      <c r="Z180" s="51"/>
      <c r="AA180" s="51"/>
      <c r="AG180" s="51"/>
      <c r="AH180" s="51"/>
      <c r="AN180" s="51"/>
      <c r="AO180" s="51"/>
      <c r="AU180" s="51"/>
      <c r="AV180" s="51"/>
      <c r="BB180" s="51"/>
      <c r="BC180" s="51"/>
      <c r="BI180" s="51"/>
      <c r="BJ180" s="51"/>
      <c r="BP180" s="51"/>
      <c r="BQ180" s="51"/>
      <c r="BW180" s="51"/>
      <c r="BX180" s="51"/>
      <c r="CD180" s="51"/>
      <c r="CE180" s="51"/>
      <c r="CK180" s="51"/>
      <c r="CL180" s="51"/>
      <c r="CR180" s="51"/>
      <c r="CS180" s="51"/>
      <c r="CY180" s="51"/>
      <c r="CZ180" s="51"/>
      <c r="DF180" s="51"/>
      <c r="DG180" s="51"/>
      <c r="DM180" s="51"/>
      <c r="DN180" s="51"/>
      <c r="DT180" s="51"/>
      <c r="DU180" s="51"/>
      <c r="EA180" s="51"/>
      <c r="EB180" s="51"/>
      <c r="EH180" s="51"/>
      <c r="EI180" s="51"/>
      <c r="EO180" s="51"/>
      <c r="EP180" s="51"/>
      <c r="EV180" s="51"/>
      <c r="EW180" s="51"/>
      <c r="FC180" s="51"/>
      <c r="FD180" s="51"/>
      <c r="FJ180" s="51"/>
      <c r="FK180" s="51"/>
      <c r="FQ180" s="51"/>
      <c r="FR180" s="51"/>
      <c r="FX180" s="51"/>
      <c r="FY180" s="51"/>
      <c r="GE180" s="51"/>
      <c r="GF180" s="51"/>
      <c r="GL180" s="51"/>
      <c r="GM180" s="51"/>
      <c r="GS180" s="51"/>
      <c r="GT180" s="51"/>
      <c r="GZ180" s="51"/>
      <c r="HA180" s="51"/>
      <c r="HG180" s="51"/>
      <c r="HH180" s="51"/>
      <c r="HN180" s="51"/>
      <c r="HO180" s="51"/>
    </row>
    <row r="181" customFormat="false" ht="15" hidden="false" customHeight="false" outlineLevel="0" collapsed="false">
      <c r="A181" s="0" t="str">
        <f aca="false">'Schedule Engine'!B180</f>
        <v>IW14</v>
      </c>
      <c r="B181" s="0" t="str">
        <f aca="false">'Schedule Engine'!E180</f>
        <v>Site Prep</v>
      </c>
      <c r="C181" s="0" t="str">
        <f aca="false">'Schedule Engine'!F180</f>
        <v>Willett &amp; Assoc.</v>
      </c>
      <c r="D181" s="0" t="n">
        <f aca="false">'Schedule Engine'!G180</f>
        <v>0</v>
      </c>
      <c r="E181" s="34" t="n">
        <f aca="false">'Schedule Engine'!N180</f>
        <v>46216</v>
      </c>
      <c r="F181" s="34" t="n">
        <f aca="false">'Schedule Engine'!O180</f>
        <v>46217</v>
      </c>
      <c r="G181" s="0" t="n">
        <f aca="false">'Schedule Engine'!K180</f>
        <v>2</v>
      </c>
      <c r="H181" s="0" t="n">
        <f aca="false">'Schedule Engine'!P180</f>
        <v>0</v>
      </c>
      <c r="L181" s="51"/>
      <c r="M181" s="51"/>
      <c r="S181" s="51"/>
      <c r="T181" s="51"/>
      <c r="Z181" s="51"/>
      <c r="AA181" s="51"/>
      <c r="AG181" s="51"/>
      <c r="AH181" s="51"/>
      <c r="AN181" s="51"/>
      <c r="AO181" s="51"/>
      <c r="AU181" s="51"/>
      <c r="AV181" s="51"/>
      <c r="BB181" s="51"/>
      <c r="BC181" s="51"/>
      <c r="BI181" s="51"/>
      <c r="BJ181" s="51"/>
      <c r="BP181" s="51"/>
      <c r="BQ181" s="51"/>
      <c r="BW181" s="51"/>
      <c r="BX181" s="51"/>
      <c r="CD181" s="51"/>
      <c r="CE181" s="51"/>
      <c r="CK181" s="51"/>
      <c r="CL181" s="51"/>
      <c r="CR181" s="51"/>
      <c r="CS181" s="51"/>
      <c r="CY181" s="51"/>
      <c r="CZ181" s="51"/>
      <c r="DF181" s="51"/>
      <c r="DG181" s="51"/>
      <c r="DM181" s="51"/>
      <c r="DN181" s="51"/>
      <c r="DT181" s="51"/>
      <c r="DU181" s="51"/>
      <c r="EA181" s="51"/>
      <c r="EB181" s="51"/>
      <c r="EH181" s="51"/>
      <c r="EI181" s="51"/>
      <c r="EO181" s="51"/>
      <c r="EP181" s="51"/>
      <c r="EV181" s="51"/>
      <c r="EW181" s="51"/>
      <c r="FC181" s="51"/>
      <c r="FD181" s="51"/>
      <c r="FJ181" s="51"/>
      <c r="FK181" s="51"/>
      <c r="FQ181" s="51"/>
      <c r="FR181" s="51"/>
      <c r="FX181" s="51"/>
      <c r="FY181" s="51"/>
      <c r="GE181" s="51"/>
      <c r="GF181" s="51"/>
      <c r="GL181" s="51"/>
      <c r="GM181" s="51"/>
      <c r="GS181" s="51"/>
      <c r="GT181" s="51"/>
      <c r="GZ181" s="51"/>
      <c r="HA181" s="51"/>
      <c r="HG181" s="51"/>
      <c r="HH181" s="51"/>
      <c r="HN181" s="51"/>
      <c r="HO181" s="51"/>
    </row>
    <row r="182" customFormat="false" ht="15" hidden="false" customHeight="false" outlineLevel="0" collapsed="false">
      <c r="A182" s="0" t="str">
        <f aca="false">'Schedule Engine'!B181</f>
        <v>IW14</v>
      </c>
      <c r="B182" s="0" t="str">
        <f aca="false">'Schedule Engine'!E181</f>
        <v>Footer</v>
      </c>
      <c r="C182" s="0" t="str">
        <f aca="false">'Schedule Engine'!F181</f>
        <v>3C Concrete</v>
      </c>
      <c r="D182" s="0" t="str">
        <f aca="false">'Schedule Engine'!G181</f>
        <v>3C Concrete</v>
      </c>
      <c r="E182" s="34" t="n">
        <f aca="false">'Schedule Engine'!N181</f>
        <v>46218</v>
      </c>
      <c r="F182" s="34" t="n">
        <f aca="false">'Schedule Engine'!O181</f>
        <v>46223</v>
      </c>
      <c r="G182" s="0" t="n">
        <f aca="false">'Schedule Engine'!K181</f>
        <v>4</v>
      </c>
      <c r="H182" s="0" t="n">
        <f aca="false">'Schedule Engine'!P181</f>
        <v>0</v>
      </c>
      <c r="L182" s="51"/>
      <c r="M182" s="51"/>
      <c r="S182" s="51"/>
      <c r="T182" s="51"/>
      <c r="Z182" s="51"/>
      <c r="AA182" s="51"/>
      <c r="AG182" s="51"/>
      <c r="AH182" s="51"/>
      <c r="AN182" s="51"/>
      <c r="AO182" s="51"/>
      <c r="AU182" s="51"/>
      <c r="AV182" s="51"/>
      <c r="BB182" s="51"/>
      <c r="BC182" s="51"/>
      <c r="BI182" s="51"/>
      <c r="BJ182" s="51"/>
      <c r="BP182" s="51"/>
      <c r="BQ182" s="51"/>
      <c r="BW182" s="51"/>
      <c r="BX182" s="51"/>
      <c r="CD182" s="51"/>
      <c r="CE182" s="51"/>
      <c r="CK182" s="51"/>
      <c r="CL182" s="51"/>
      <c r="CR182" s="51"/>
      <c r="CS182" s="51"/>
      <c r="CY182" s="51"/>
      <c r="CZ182" s="51"/>
      <c r="DF182" s="51"/>
      <c r="DG182" s="51"/>
      <c r="DM182" s="51"/>
      <c r="DN182" s="51"/>
      <c r="DT182" s="51"/>
      <c r="DU182" s="51"/>
      <c r="EA182" s="51"/>
      <c r="EB182" s="51"/>
      <c r="EH182" s="51"/>
      <c r="EI182" s="51"/>
      <c r="EO182" s="51"/>
      <c r="EP182" s="51"/>
      <c r="EV182" s="51"/>
      <c r="EW182" s="51"/>
      <c r="FC182" s="51"/>
      <c r="FD182" s="51"/>
      <c r="FJ182" s="51"/>
      <c r="FK182" s="51"/>
      <c r="FQ182" s="51"/>
      <c r="FR182" s="51"/>
      <c r="FX182" s="51"/>
      <c r="FY182" s="51"/>
      <c r="GE182" s="51"/>
      <c r="GF182" s="51"/>
      <c r="GL182" s="51"/>
      <c r="GM182" s="51"/>
      <c r="GS182" s="51"/>
      <c r="GT182" s="51"/>
      <c r="GZ182" s="51"/>
      <c r="HA182" s="51"/>
      <c r="HG182" s="51"/>
      <c r="HH182" s="51"/>
      <c r="HN182" s="51"/>
      <c r="HO182" s="51"/>
    </row>
    <row r="183" customFormat="false" ht="15" hidden="false" customHeight="false" outlineLevel="0" collapsed="false">
      <c r="A183" s="0" t="str">
        <f aca="false">'Schedule Engine'!B182</f>
        <v>IW14</v>
      </c>
      <c r="B183" s="0" t="str">
        <f aca="false">'Schedule Engine'!E182</f>
        <v>Block</v>
      </c>
      <c r="C183" s="0" t="str">
        <f aca="false">'Schedule Engine'!F182</f>
        <v>Julio H</v>
      </c>
      <c r="D183" s="0" t="n">
        <f aca="false">'Schedule Engine'!G182</f>
        <v>0</v>
      </c>
      <c r="E183" s="34" t="n">
        <f aca="false">'Schedule Engine'!N182</f>
        <v>46224</v>
      </c>
      <c r="F183" s="34" t="n">
        <f aca="false">'Schedule Engine'!O182</f>
        <v>46237</v>
      </c>
      <c r="G183" s="0" t="n">
        <f aca="false">'Schedule Engine'!K182</f>
        <v>10</v>
      </c>
      <c r="H183" s="0" t="n">
        <f aca="false">'Schedule Engine'!P182</f>
        <v>0</v>
      </c>
      <c r="L183" s="51"/>
      <c r="M183" s="51"/>
      <c r="S183" s="51"/>
      <c r="T183" s="51"/>
      <c r="Z183" s="51"/>
      <c r="AA183" s="51"/>
      <c r="AG183" s="51"/>
      <c r="AH183" s="51"/>
      <c r="AN183" s="51"/>
      <c r="AO183" s="51"/>
      <c r="AU183" s="51"/>
      <c r="AV183" s="51"/>
      <c r="BB183" s="51"/>
      <c r="BC183" s="51"/>
      <c r="BI183" s="51"/>
      <c r="BJ183" s="51"/>
      <c r="BP183" s="51"/>
      <c r="BQ183" s="51"/>
      <c r="BW183" s="51"/>
      <c r="BX183" s="51"/>
      <c r="CD183" s="51"/>
      <c r="CE183" s="51"/>
      <c r="CK183" s="51"/>
      <c r="CL183" s="51"/>
      <c r="CR183" s="51"/>
      <c r="CS183" s="51"/>
      <c r="CY183" s="51"/>
      <c r="CZ183" s="51"/>
      <c r="DF183" s="51"/>
      <c r="DG183" s="51"/>
      <c r="DM183" s="51"/>
      <c r="DN183" s="51"/>
      <c r="DT183" s="51"/>
      <c r="DU183" s="51"/>
      <c r="EA183" s="51"/>
      <c r="EB183" s="51"/>
      <c r="EH183" s="51"/>
      <c r="EI183" s="51"/>
      <c r="EO183" s="51"/>
      <c r="EP183" s="51"/>
      <c r="EV183" s="51"/>
      <c r="EW183" s="51"/>
      <c r="FC183" s="51"/>
      <c r="FD183" s="51"/>
      <c r="FJ183" s="51"/>
      <c r="FK183" s="51"/>
      <c r="FQ183" s="51"/>
      <c r="FR183" s="51"/>
      <c r="FX183" s="51"/>
      <c r="FY183" s="51"/>
      <c r="GE183" s="51"/>
      <c r="GF183" s="51"/>
      <c r="GL183" s="51"/>
      <c r="GM183" s="51"/>
      <c r="GS183" s="51"/>
      <c r="GT183" s="51"/>
      <c r="GZ183" s="51"/>
      <c r="HA183" s="51"/>
      <c r="HG183" s="51"/>
      <c r="HH183" s="51"/>
      <c r="HN183" s="51"/>
      <c r="HO183" s="51"/>
    </row>
    <row r="184" customFormat="false" ht="15" hidden="false" customHeight="false" outlineLevel="0" collapsed="false">
      <c r="A184" s="0" t="str">
        <f aca="false">'Schedule Engine'!B183</f>
        <v>IW14</v>
      </c>
      <c r="B184" s="0" t="str">
        <f aca="false">'Schedule Engine'!E183</f>
        <v>French Drain</v>
      </c>
      <c r="C184" s="0" t="str">
        <f aca="false">'Schedule Engine'!F183</f>
        <v>Jacob Hayden</v>
      </c>
      <c r="D184" s="0" t="n">
        <f aca="false">'Schedule Engine'!G183</f>
        <v>0</v>
      </c>
      <c r="E184" s="34" t="n">
        <f aca="false">'Schedule Engine'!N183</f>
        <v>46238</v>
      </c>
      <c r="F184" s="34" t="n">
        <f aca="false">'Schedule Engine'!O183</f>
        <v>46239</v>
      </c>
      <c r="G184" s="0" t="n">
        <f aca="false">'Schedule Engine'!K183</f>
        <v>2</v>
      </c>
      <c r="H184" s="0" t="n">
        <f aca="false">'Schedule Engine'!P183</f>
        <v>0</v>
      </c>
      <c r="L184" s="51"/>
      <c r="M184" s="51"/>
      <c r="S184" s="51"/>
      <c r="T184" s="51"/>
      <c r="Z184" s="51"/>
      <c r="AA184" s="51"/>
      <c r="AG184" s="51"/>
      <c r="AH184" s="51"/>
      <c r="AN184" s="51"/>
      <c r="AO184" s="51"/>
      <c r="AU184" s="51"/>
      <c r="AV184" s="51"/>
      <c r="BB184" s="51"/>
      <c r="BC184" s="51"/>
      <c r="BI184" s="51"/>
      <c r="BJ184" s="51"/>
      <c r="BP184" s="51"/>
      <c r="BQ184" s="51"/>
      <c r="BW184" s="51"/>
      <c r="BX184" s="51"/>
      <c r="CD184" s="51"/>
      <c r="CE184" s="51"/>
      <c r="CK184" s="51"/>
      <c r="CL184" s="51"/>
      <c r="CR184" s="51"/>
      <c r="CS184" s="51"/>
      <c r="CY184" s="51"/>
      <c r="CZ184" s="51"/>
      <c r="DF184" s="51"/>
      <c r="DG184" s="51"/>
      <c r="DM184" s="51"/>
      <c r="DN184" s="51"/>
      <c r="DT184" s="51"/>
      <c r="DU184" s="51"/>
      <c r="EA184" s="51"/>
      <c r="EB184" s="51"/>
      <c r="EH184" s="51"/>
      <c r="EI184" s="51"/>
      <c r="EO184" s="51"/>
      <c r="EP184" s="51"/>
      <c r="EV184" s="51"/>
      <c r="EW184" s="51"/>
      <c r="FC184" s="51"/>
      <c r="FD184" s="51"/>
      <c r="FJ184" s="51"/>
      <c r="FK184" s="51"/>
      <c r="FQ184" s="51"/>
      <c r="FR184" s="51"/>
      <c r="FX184" s="51"/>
      <c r="FY184" s="51"/>
      <c r="GE184" s="51"/>
      <c r="GF184" s="51"/>
      <c r="GL184" s="51"/>
      <c r="GM184" s="51"/>
      <c r="GS184" s="51"/>
      <c r="GT184" s="51"/>
      <c r="GZ184" s="51"/>
      <c r="HA184" s="51"/>
      <c r="HG184" s="51"/>
      <c r="HH184" s="51"/>
      <c r="HN184" s="51"/>
      <c r="HO184" s="51"/>
    </row>
    <row r="185" customFormat="false" ht="15" hidden="false" customHeight="false" outlineLevel="0" collapsed="false">
      <c r="A185" s="0" t="str">
        <f aca="false">'Schedule Engine'!B184</f>
        <v>IW14</v>
      </c>
      <c r="B185" s="0" t="str">
        <f aca="false">'Schedule Engine'!E184</f>
        <v>Insulation Block</v>
      </c>
      <c r="C185" s="0" t="str">
        <f aca="false">'Schedule Engine'!F184</f>
        <v>Tyler Champion</v>
      </c>
      <c r="D185" s="0" t="n">
        <f aca="false">'Schedule Engine'!G184</f>
        <v>0</v>
      </c>
      <c r="E185" s="34" t="n">
        <f aca="false">'Schedule Engine'!N184</f>
        <v>46238</v>
      </c>
      <c r="F185" s="34" t="n">
        <f aca="false">'Schedule Engine'!O184</f>
        <v>46239</v>
      </c>
      <c r="G185" s="0" t="n">
        <f aca="false">'Schedule Engine'!K184</f>
        <v>2</v>
      </c>
      <c r="H185" s="0" t="n">
        <f aca="false">'Schedule Engine'!P184</f>
        <v>0</v>
      </c>
      <c r="L185" s="51"/>
      <c r="M185" s="51"/>
      <c r="S185" s="51"/>
      <c r="T185" s="51"/>
      <c r="Z185" s="51"/>
      <c r="AA185" s="51"/>
      <c r="AG185" s="51"/>
      <c r="AH185" s="51"/>
      <c r="AN185" s="51"/>
      <c r="AO185" s="51"/>
      <c r="AU185" s="51"/>
      <c r="AV185" s="51"/>
      <c r="BB185" s="51"/>
      <c r="BC185" s="51"/>
      <c r="BI185" s="51"/>
      <c r="BJ185" s="51"/>
      <c r="BP185" s="51"/>
      <c r="BQ185" s="51"/>
      <c r="BW185" s="51"/>
      <c r="BX185" s="51"/>
      <c r="CD185" s="51"/>
      <c r="CE185" s="51"/>
      <c r="CK185" s="51"/>
      <c r="CL185" s="51"/>
      <c r="CR185" s="51"/>
      <c r="CS185" s="51"/>
      <c r="CY185" s="51"/>
      <c r="CZ185" s="51"/>
      <c r="DF185" s="51"/>
      <c r="DG185" s="51"/>
      <c r="DM185" s="51"/>
      <c r="DN185" s="51"/>
      <c r="DT185" s="51"/>
      <c r="DU185" s="51"/>
      <c r="EA185" s="51"/>
      <c r="EB185" s="51"/>
      <c r="EH185" s="51"/>
      <c r="EI185" s="51"/>
      <c r="EO185" s="51"/>
      <c r="EP185" s="51"/>
      <c r="EV185" s="51"/>
      <c r="EW185" s="51"/>
      <c r="FC185" s="51"/>
      <c r="FD185" s="51"/>
      <c r="FJ185" s="51"/>
      <c r="FK185" s="51"/>
      <c r="FQ185" s="51"/>
      <c r="FR185" s="51"/>
      <c r="FX185" s="51"/>
      <c r="FY185" s="51"/>
      <c r="GE185" s="51"/>
      <c r="GF185" s="51"/>
      <c r="GL185" s="51"/>
      <c r="GM185" s="51"/>
      <c r="GS185" s="51"/>
      <c r="GT185" s="51"/>
      <c r="GZ185" s="51"/>
      <c r="HA185" s="51"/>
      <c r="HG185" s="51"/>
      <c r="HH185" s="51"/>
      <c r="HN185" s="51"/>
      <c r="HO185" s="51"/>
    </row>
    <row r="186" customFormat="false" ht="15" hidden="false" customHeight="false" outlineLevel="0" collapsed="false">
      <c r="A186" s="0" t="str">
        <f aca="false">'Schedule Engine'!B185</f>
        <v>IW14</v>
      </c>
      <c r="B186" s="0" t="str">
        <f aca="false">'Schedule Engine'!E185</f>
        <v>Rock Work</v>
      </c>
      <c r="C186" s="0" t="n">
        <f aca="false">'Schedule Engine'!F185</f>
        <v>0</v>
      </c>
      <c r="D186" s="0" t="n">
        <f aca="false">'Schedule Engine'!G185</f>
        <v>0</v>
      </c>
      <c r="E186" s="34" t="n">
        <f aca="false">'Schedule Engine'!N185</f>
        <v>46240</v>
      </c>
      <c r="F186" s="34" t="n">
        <f aca="false">'Schedule Engine'!O185</f>
        <v>46241</v>
      </c>
      <c r="G186" s="0" t="n">
        <f aca="false">'Schedule Engine'!K185</f>
        <v>2</v>
      </c>
      <c r="H186" s="0" t="n">
        <f aca="false">'Schedule Engine'!P185</f>
        <v>0</v>
      </c>
      <c r="L186" s="51"/>
      <c r="M186" s="51"/>
      <c r="S186" s="51"/>
      <c r="T186" s="51"/>
      <c r="Z186" s="51"/>
      <c r="AA186" s="51"/>
      <c r="AG186" s="51"/>
      <c r="AH186" s="51"/>
      <c r="AN186" s="51"/>
      <c r="AO186" s="51"/>
      <c r="AU186" s="51"/>
      <c r="AV186" s="51"/>
      <c r="BB186" s="51"/>
      <c r="BC186" s="51"/>
      <c r="BI186" s="51"/>
      <c r="BJ186" s="51"/>
      <c r="BP186" s="51"/>
      <c r="BQ186" s="51"/>
      <c r="BW186" s="51"/>
      <c r="BX186" s="51"/>
      <c r="CD186" s="51"/>
      <c r="CE186" s="51"/>
      <c r="CK186" s="51"/>
      <c r="CL186" s="51"/>
      <c r="CR186" s="51"/>
      <c r="CS186" s="51"/>
      <c r="CY186" s="51"/>
      <c r="CZ186" s="51"/>
      <c r="DF186" s="51"/>
      <c r="DG186" s="51"/>
      <c r="DM186" s="51"/>
      <c r="DN186" s="51"/>
      <c r="DT186" s="51"/>
      <c r="DU186" s="51"/>
      <c r="EA186" s="51"/>
      <c r="EB186" s="51"/>
      <c r="EH186" s="51"/>
      <c r="EI186" s="51"/>
      <c r="EO186" s="51"/>
      <c r="EP186" s="51"/>
      <c r="EV186" s="51"/>
      <c r="EW186" s="51"/>
      <c r="FC186" s="51"/>
      <c r="FD186" s="51"/>
      <c r="FJ186" s="51"/>
      <c r="FK186" s="51"/>
      <c r="FQ186" s="51"/>
      <c r="FR186" s="51"/>
      <c r="FX186" s="51"/>
      <c r="FY186" s="51"/>
      <c r="GE186" s="51"/>
      <c r="GF186" s="51"/>
      <c r="GL186" s="51"/>
      <c r="GM186" s="51"/>
      <c r="GS186" s="51"/>
      <c r="GT186" s="51"/>
      <c r="GZ186" s="51"/>
      <c r="HA186" s="51"/>
      <c r="HG186" s="51"/>
      <c r="HH186" s="51"/>
      <c r="HN186" s="51"/>
      <c r="HO186" s="51"/>
    </row>
    <row r="187" customFormat="false" ht="15" hidden="false" customHeight="false" outlineLevel="0" collapsed="false">
      <c r="A187" s="0" t="str">
        <f aca="false">'Schedule Engine'!B186</f>
        <v>IW14</v>
      </c>
      <c r="B187" s="0" t="str">
        <f aca="false">'Schedule Engine'!E186</f>
        <v>HVAC Pre</v>
      </c>
      <c r="C187" s="0" t="str">
        <f aca="false">'Schedule Engine'!F186</f>
        <v>Adco</v>
      </c>
      <c r="D187" s="0" t="n">
        <f aca="false">'Schedule Engine'!G186</f>
        <v>0</v>
      </c>
      <c r="E187" s="34" t="n">
        <f aca="false">'Schedule Engine'!N186</f>
        <v>46244</v>
      </c>
      <c r="F187" s="34" t="n">
        <f aca="false">'Schedule Engine'!O186</f>
        <v>46245</v>
      </c>
      <c r="G187" s="0" t="n">
        <f aca="false">'Schedule Engine'!K186</f>
        <v>2</v>
      </c>
      <c r="H187" s="0" t="n">
        <f aca="false">'Schedule Engine'!P186</f>
        <v>0</v>
      </c>
      <c r="L187" s="51"/>
      <c r="M187" s="51"/>
      <c r="S187" s="51"/>
      <c r="T187" s="51"/>
      <c r="Z187" s="51"/>
      <c r="AA187" s="51"/>
      <c r="AG187" s="51"/>
      <c r="AH187" s="51"/>
      <c r="AN187" s="51"/>
      <c r="AO187" s="51"/>
      <c r="AU187" s="51"/>
      <c r="AV187" s="51"/>
      <c r="BB187" s="51"/>
      <c r="BC187" s="51"/>
      <c r="BI187" s="51"/>
      <c r="BJ187" s="51"/>
      <c r="BP187" s="51"/>
      <c r="BQ187" s="51"/>
      <c r="BW187" s="51"/>
      <c r="BX187" s="51"/>
      <c r="CD187" s="51"/>
      <c r="CE187" s="51"/>
      <c r="CK187" s="51"/>
      <c r="CL187" s="51"/>
      <c r="CR187" s="51"/>
      <c r="CS187" s="51"/>
      <c r="CY187" s="51"/>
      <c r="CZ187" s="51"/>
      <c r="DF187" s="51"/>
      <c r="DG187" s="51"/>
      <c r="DM187" s="51"/>
      <c r="DN187" s="51"/>
      <c r="DT187" s="51"/>
      <c r="DU187" s="51"/>
      <c r="EA187" s="51"/>
      <c r="EB187" s="51"/>
      <c r="EH187" s="51"/>
      <c r="EI187" s="51"/>
      <c r="EO187" s="51"/>
      <c r="EP187" s="51"/>
      <c r="EV187" s="51"/>
      <c r="EW187" s="51"/>
      <c r="FC187" s="51"/>
      <c r="FD187" s="51"/>
      <c r="FJ187" s="51"/>
      <c r="FK187" s="51"/>
      <c r="FQ187" s="51"/>
      <c r="FR187" s="51"/>
      <c r="FX187" s="51"/>
      <c r="FY187" s="51"/>
      <c r="GE187" s="51"/>
      <c r="GF187" s="51"/>
      <c r="GL187" s="51"/>
      <c r="GM187" s="51"/>
      <c r="GS187" s="51"/>
      <c r="GT187" s="51"/>
      <c r="GZ187" s="51"/>
      <c r="HA187" s="51"/>
      <c r="HG187" s="51"/>
      <c r="HH187" s="51"/>
      <c r="HN187" s="51"/>
      <c r="HO187" s="51"/>
    </row>
    <row r="188" customFormat="false" ht="15" hidden="false" customHeight="false" outlineLevel="0" collapsed="false">
      <c r="A188" s="0" t="str">
        <f aca="false">'Schedule Engine'!B187</f>
        <v>IW14</v>
      </c>
      <c r="B188" s="0" t="str">
        <f aca="false">'Schedule Engine'!E187</f>
        <v>Plumbing Pre</v>
      </c>
      <c r="C188" s="0" t="str">
        <f aca="false">'Schedule Engine'!F187</f>
        <v>Hays</v>
      </c>
      <c r="D188" s="0" t="str">
        <f aca="false">'Schedule Engine'!G187</f>
        <v>Hays</v>
      </c>
      <c r="E188" s="34" t="n">
        <f aca="false">'Schedule Engine'!N187</f>
        <v>46244</v>
      </c>
      <c r="F188" s="34" t="n">
        <f aca="false">'Schedule Engine'!O187</f>
        <v>46248</v>
      </c>
      <c r="G188" s="0" t="n">
        <f aca="false">'Schedule Engine'!K187</f>
        <v>5</v>
      </c>
      <c r="H188" s="0" t="n">
        <f aca="false">'Schedule Engine'!P187</f>
        <v>0</v>
      </c>
      <c r="L188" s="51"/>
      <c r="M188" s="51"/>
      <c r="S188" s="51"/>
      <c r="T188" s="51"/>
      <c r="Z188" s="51"/>
      <c r="AA188" s="51"/>
      <c r="AG188" s="51"/>
      <c r="AH188" s="51"/>
      <c r="AN188" s="51"/>
      <c r="AO188" s="51"/>
      <c r="AU188" s="51"/>
      <c r="AV188" s="51"/>
      <c r="BB188" s="51"/>
      <c r="BC188" s="51"/>
      <c r="BI188" s="51"/>
      <c r="BJ188" s="51"/>
      <c r="BP188" s="51"/>
      <c r="BQ188" s="51"/>
      <c r="BW188" s="51"/>
      <c r="BX188" s="51"/>
      <c r="CD188" s="51"/>
      <c r="CE188" s="51"/>
      <c r="CK188" s="51"/>
      <c r="CL188" s="51"/>
      <c r="CR188" s="51"/>
      <c r="CS188" s="51"/>
      <c r="CY188" s="51"/>
      <c r="CZ188" s="51"/>
      <c r="DF188" s="51"/>
      <c r="DG188" s="51"/>
      <c r="DM188" s="51"/>
      <c r="DN188" s="51"/>
      <c r="DT188" s="51"/>
      <c r="DU188" s="51"/>
      <c r="EA188" s="51"/>
      <c r="EB188" s="51"/>
      <c r="EH188" s="51"/>
      <c r="EI188" s="51"/>
      <c r="EO188" s="51"/>
      <c r="EP188" s="51"/>
      <c r="EV188" s="51"/>
      <c r="EW188" s="51"/>
      <c r="FC188" s="51"/>
      <c r="FD188" s="51"/>
      <c r="FJ188" s="51"/>
      <c r="FK188" s="51"/>
      <c r="FQ188" s="51"/>
      <c r="FR188" s="51"/>
      <c r="FX188" s="51"/>
      <c r="FY188" s="51"/>
      <c r="GE188" s="51"/>
      <c r="GF188" s="51"/>
      <c r="GL188" s="51"/>
      <c r="GM188" s="51"/>
      <c r="GS188" s="51"/>
      <c r="GT188" s="51"/>
      <c r="GZ188" s="51"/>
      <c r="HA188" s="51"/>
      <c r="HG188" s="51"/>
      <c r="HH188" s="51"/>
      <c r="HN188" s="51"/>
      <c r="HO188" s="51"/>
    </row>
    <row r="189" customFormat="false" ht="15" hidden="false" customHeight="false" outlineLevel="0" collapsed="false">
      <c r="A189" s="0" t="str">
        <f aca="false">'Schedule Engine'!B188</f>
        <v>IW14</v>
      </c>
      <c r="B189" s="0" t="str">
        <f aca="false">'Schedule Engine'!E188</f>
        <v>Electrical Pre</v>
      </c>
      <c r="C189" s="0" t="str">
        <f aca="false">'Schedule Engine'!F188</f>
        <v>Dave Kaler</v>
      </c>
      <c r="D189" s="0" t="n">
        <f aca="false">'Schedule Engine'!G188</f>
        <v>0</v>
      </c>
      <c r="E189" s="34" t="n">
        <f aca="false">'Schedule Engine'!N188</f>
        <v>46244</v>
      </c>
      <c r="F189" s="34" t="n">
        <f aca="false">'Schedule Engine'!O188</f>
        <v>46245</v>
      </c>
      <c r="G189" s="0" t="n">
        <f aca="false">'Schedule Engine'!K188</f>
        <v>2</v>
      </c>
      <c r="H189" s="0" t="n">
        <f aca="false">'Schedule Engine'!P188</f>
        <v>0</v>
      </c>
      <c r="L189" s="51"/>
      <c r="M189" s="51"/>
      <c r="S189" s="51"/>
      <c r="T189" s="51"/>
      <c r="Z189" s="51"/>
      <c r="AA189" s="51"/>
      <c r="AG189" s="51"/>
      <c r="AH189" s="51"/>
      <c r="AN189" s="51"/>
      <c r="AO189" s="51"/>
      <c r="AU189" s="51"/>
      <c r="AV189" s="51"/>
      <c r="BB189" s="51"/>
      <c r="BC189" s="51"/>
      <c r="BI189" s="51"/>
      <c r="BJ189" s="51"/>
      <c r="BP189" s="51"/>
      <c r="BQ189" s="51"/>
      <c r="BW189" s="51"/>
      <c r="BX189" s="51"/>
      <c r="CD189" s="51"/>
      <c r="CE189" s="51"/>
      <c r="CK189" s="51"/>
      <c r="CL189" s="51"/>
      <c r="CR189" s="51"/>
      <c r="CS189" s="51"/>
      <c r="CY189" s="51"/>
      <c r="CZ189" s="51"/>
      <c r="DF189" s="51"/>
      <c r="DG189" s="51"/>
      <c r="DM189" s="51"/>
      <c r="DN189" s="51"/>
      <c r="DT189" s="51"/>
      <c r="DU189" s="51"/>
      <c r="EA189" s="51"/>
      <c r="EB189" s="51"/>
      <c r="EH189" s="51"/>
      <c r="EI189" s="51"/>
      <c r="EO189" s="51"/>
      <c r="EP189" s="51"/>
      <c r="EV189" s="51"/>
      <c r="EW189" s="51"/>
      <c r="FC189" s="51"/>
      <c r="FD189" s="51"/>
      <c r="FJ189" s="51"/>
      <c r="FK189" s="51"/>
      <c r="FQ189" s="51"/>
      <c r="FR189" s="51"/>
      <c r="FX189" s="51"/>
      <c r="FY189" s="51"/>
      <c r="GE189" s="51"/>
      <c r="GF189" s="51"/>
      <c r="GL189" s="51"/>
      <c r="GM189" s="51"/>
      <c r="GS189" s="51"/>
      <c r="GT189" s="51"/>
      <c r="GZ189" s="51"/>
      <c r="HA189" s="51"/>
      <c r="HG189" s="51"/>
      <c r="HH189" s="51"/>
      <c r="HN189" s="51"/>
      <c r="HO189" s="51"/>
    </row>
    <row r="190" customFormat="false" ht="15" hidden="false" customHeight="false" outlineLevel="0" collapsed="false">
      <c r="A190" s="0" t="str">
        <f aca="false">'Schedule Engine'!B189</f>
        <v>IW14</v>
      </c>
      <c r="B190" s="0" t="str">
        <f aca="false">'Schedule Engine'!E189</f>
        <v>Slab</v>
      </c>
      <c r="C190" s="0" t="str">
        <f aca="false">'Schedule Engine'!F189</f>
        <v>3C Concrete</v>
      </c>
      <c r="D190" s="0" t="str">
        <f aca="false">'Schedule Engine'!G189</f>
        <v>3C Concrete</v>
      </c>
      <c r="E190" s="34" t="n">
        <f aca="false">'Schedule Engine'!N189</f>
        <v>46251</v>
      </c>
      <c r="F190" s="34" t="n">
        <f aca="false">'Schedule Engine'!O189</f>
        <v>46254</v>
      </c>
      <c r="G190" s="0" t="n">
        <f aca="false">'Schedule Engine'!K189</f>
        <v>4</v>
      </c>
      <c r="H190" s="0" t="n">
        <f aca="false">'Schedule Engine'!P189</f>
        <v>0</v>
      </c>
      <c r="L190" s="51"/>
      <c r="M190" s="51"/>
      <c r="S190" s="51"/>
      <c r="T190" s="51"/>
      <c r="Z190" s="51"/>
      <c r="AA190" s="51"/>
      <c r="AG190" s="51"/>
      <c r="AH190" s="51"/>
      <c r="AN190" s="51"/>
      <c r="AO190" s="51"/>
      <c r="AU190" s="51"/>
      <c r="AV190" s="51"/>
      <c r="BB190" s="51"/>
      <c r="BC190" s="51"/>
      <c r="BI190" s="51"/>
      <c r="BJ190" s="51"/>
      <c r="BP190" s="51"/>
      <c r="BQ190" s="51"/>
      <c r="BW190" s="51"/>
      <c r="BX190" s="51"/>
      <c r="CD190" s="51"/>
      <c r="CE190" s="51"/>
      <c r="CK190" s="51"/>
      <c r="CL190" s="51"/>
      <c r="CR190" s="51"/>
      <c r="CS190" s="51"/>
      <c r="CY190" s="51"/>
      <c r="CZ190" s="51"/>
      <c r="DF190" s="51"/>
      <c r="DG190" s="51"/>
      <c r="DM190" s="51"/>
      <c r="DN190" s="51"/>
      <c r="DT190" s="51"/>
      <c r="DU190" s="51"/>
      <c r="EA190" s="51"/>
      <c r="EB190" s="51"/>
      <c r="EH190" s="51"/>
      <c r="EI190" s="51"/>
      <c r="EO190" s="51"/>
      <c r="EP190" s="51"/>
      <c r="EV190" s="51"/>
      <c r="EW190" s="51"/>
      <c r="FC190" s="51"/>
      <c r="FD190" s="51"/>
      <c r="FJ190" s="51"/>
      <c r="FK190" s="51"/>
      <c r="FQ190" s="51"/>
      <c r="FR190" s="51"/>
      <c r="FX190" s="51"/>
      <c r="FY190" s="51"/>
      <c r="GE190" s="51"/>
      <c r="GF190" s="51"/>
      <c r="GL190" s="51"/>
      <c r="GM190" s="51"/>
      <c r="GS190" s="51"/>
      <c r="GT190" s="51"/>
      <c r="GZ190" s="51"/>
      <c r="HA190" s="51"/>
      <c r="HG190" s="51"/>
      <c r="HH190" s="51"/>
      <c r="HN190" s="51"/>
      <c r="HO190" s="51"/>
    </row>
    <row r="191" customFormat="false" ht="15" hidden="false" customHeight="false" outlineLevel="0" collapsed="false">
      <c r="A191" s="0" t="str">
        <f aca="false">'Schedule Engine'!B190</f>
        <v>IW14</v>
      </c>
      <c r="B191" s="0" t="str">
        <f aca="false">'Schedule Engine'!E190</f>
        <v>Framing</v>
      </c>
      <c r="C191" s="0" t="str">
        <f aca="false">'Schedule Engine'!F190</f>
        <v>Gerardo</v>
      </c>
      <c r="D191" s="0" t="n">
        <f aca="false">'Schedule Engine'!G190</f>
        <v>0</v>
      </c>
      <c r="E191" s="34" t="n">
        <f aca="false">'Schedule Engine'!N190</f>
        <v>46255</v>
      </c>
      <c r="F191" s="34" t="n">
        <f aca="false">'Schedule Engine'!O190</f>
        <v>46296</v>
      </c>
      <c r="G191" s="0" t="n">
        <f aca="false">'Schedule Engine'!K190</f>
        <v>30</v>
      </c>
      <c r="H191" s="0" t="n">
        <f aca="false">'Schedule Engine'!P190</f>
        <v>0</v>
      </c>
      <c r="L191" s="51"/>
      <c r="M191" s="51"/>
      <c r="S191" s="51"/>
      <c r="T191" s="51"/>
      <c r="Z191" s="51"/>
      <c r="AA191" s="51"/>
      <c r="AG191" s="51"/>
      <c r="AH191" s="51"/>
      <c r="AN191" s="51"/>
      <c r="AO191" s="51"/>
      <c r="AU191" s="51"/>
      <c r="AV191" s="51"/>
      <c r="BB191" s="51"/>
      <c r="BC191" s="51"/>
      <c r="BI191" s="51"/>
      <c r="BJ191" s="51"/>
      <c r="BP191" s="51"/>
      <c r="BQ191" s="51"/>
      <c r="BW191" s="51"/>
      <c r="BX191" s="51"/>
      <c r="CD191" s="51"/>
      <c r="CE191" s="51"/>
      <c r="CK191" s="51"/>
      <c r="CL191" s="51"/>
      <c r="CR191" s="51"/>
      <c r="CS191" s="51"/>
      <c r="CY191" s="51"/>
      <c r="CZ191" s="51"/>
      <c r="DF191" s="51"/>
      <c r="DG191" s="51"/>
      <c r="DM191" s="51"/>
      <c r="DN191" s="51"/>
      <c r="DT191" s="51"/>
      <c r="DU191" s="51"/>
      <c r="EA191" s="51"/>
      <c r="EB191" s="51"/>
      <c r="EH191" s="51"/>
      <c r="EI191" s="51"/>
      <c r="EO191" s="51"/>
      <c r="EP191" s="51"/>
      <c r="EV191" s="51"/>
      <c r="EW191" s="51"/>
      <c r="FC191" s="51"/>
      <c r="FD191" s="51"/>
      <c r="FJ191" s="51"/>
      <c r="FK191" s="51"/>
      <c r="FQ191" s="51"/>
      <c r="FR191" s="51"/>
      <c r="FX191" s="51"/>
      <c r="FY191" s="51"/>
      <c r="GE191" s="51"/>
      <c r="GF191" s="51"/>
      <c r="GL191" s="51"/>
      <c r="GM191" s="51"/>
      <c r="GS191" s="51"/>
      <c r="GT191" s="51"/>
      <c r="GZ191" s="51"/>
      <c r="HA191" s="51"/>
      <c r="HG191" s="51"/>
      <c r="HH191" s="51"/>
      <c r="HN191" s="51"/>
      <c r="HO191" s="51"/>
    </row>
    <row r="192" customFormat="false" ht="15" hidden="false" customHeight="false" outlineLevel="0" collapsed="false">
      <c r="A192" s="0" t="str">
        <f aca="false">'Schedule Engine'!B191</f>
        <v>IW14</v>
      </c>
      <c r="B192" s="0" t="str">
        <f aca="false">'Schedule Engine'!E191</f>
        <v>Roofing</v>
      </c>
      <c r="C192" s="0" t="str">
        <f aca="false">'Schedule Engine'!F191</f>
        <v>Rod Smith</v>
      </c>
      <c r="D192" s="0" t="n">
        <f aca="false">'Schedule Engine'!G191</f>
        <v>0</v>
      </c>
      <c r="E192" s="34" t="n">
        <f aca="false">'Schedule Engine'!N191</f>
        <v>46297</v>
      </c>
      <c r="F192" s="34" t="n">
        <f aca="false">'Schedule Engine'!O191</f>
        <v>46302</v>
      </c>
      <c r="G192" s="0" t="n">
        <f aca="false">'Schedule Engine'!K191</f>
        <v>4</v>
      </c>
      <c r="H192" s="0" t="n">
        <f aca="false">'Schedule Engine'!P191</f>
        <v>0</v>
      </c>
      <c r="L192" s="51"/>
      <c r="M192" s="51"/>
      <c r="S192" s="51"/>
      <c r="T192" s="51"/>
      <c r="Z192" s="51"/>
      <c r="AA192" s="51"/>
      <c r="AG192" s="51"/>
      <c r="AH192" s="51"/>
      <c r="AN192" s="51"/>
      <c r="AO192" s="51"/>
      <c r="AU192" s="51"/>
      <c r="AV192" s="51"/>
      <c r="BB192" s="51"/>
      <c r="BC192" s="51"/>
      <c r="BI192" s="51"/>
      <c r="BJ192" s="51"/>
      <c r="BP192" s="51"/>
      <c r="BQ192" s="51"/>
      <c r="BW192" s="51"/>
      <c r="BX192" s="51"/>
      <c r="CD192" s="51"/>
      <c r="CE192" s="51"/>
      <c r="CK192" s="51"/>
      <c r="CL192" s="51"/>
      <c r="CR192" s="51"/>
      <c r="CS192" s="51"/>
      <c r="CY192" s="51"/>
      <c r="CZ192" s="51"/>
      <c r="DF192" s="51"/>
      <c r="DG192" s="51"/>
      <c r="DM192" s="51"/>
      <c r="DN192" s="51"/>
      <c r="DT192" s="51"/>
      <c r="DU192" s="51"/>
      <c r="EA192" s="51"/>
      <c r="EB192" s="51"/>
      <c r="EH192" s="51"/>
      <c r="EI192" s="51"/>
      <c r="EO192" s="51"/>
      <c r="EP192" s="51"/>
      <c r="EV192" s="51"/>
      <c r="EW192" s="51"/>
      <c r="FC192" s="51"/>
      <c r="FD192" s="51"/>
      <c r="FJ192" s="51"/>
      <c r="FK192" s="51"/>
      <c r="FQ192" s="51"/>
      <c r="FR192" s="51"/>
      <c r="FX192" s="51"/>
      <c r="FY192" s="51"/>
      <c r="GE192" s="51"/>
      <c r="GF192" s="51"/>
      <c r="GL192" s="51"/>
      <c r="GM192" s="51"/>
      <c r="GS192" s="51"/>
      <c r="GT192" s="51"/>
      <c r="GZ192" s="51"/>
      <c r="HA192" s="51"/>
      <c r="HG192" s="51"/>
      <c r="HH192" s="51"/>
      <c r="HN192" s="51"/>
      <c r="HO192" s="51"/>
    </row>
    <row r="193" customFormat="false" ht="15" hidden="false" customHeight="false" outlineLevel="0" collapsed="false">
      <c r="A193" s="0" t="str">
        <f aca="false">'Schedule Engine'!B192</f>
        <v>IW14</v>
      </c>
      <c r="B193" s="0" t="str">
        <f aca="false">'Schedule Engine'!E192</f>
        <v>Brick</v>
      </c>
      <c r="C193" s="0" t="str">
        <f aca="false">'Schedule Engine'!F192</f>
        <v>Julio H</v>
      </c>
      <c r="D193" s="0" t="n">
        <f aca="false">'Schedule Engine'!G192</f>
        <v>0</v>
      </c>
      <c r="E193" s="34" t="n">
        <f aca="false">'Schedule Engine'!N192</f>
        <v>46303</v>
      </c>
      <c r="F193" s="34" t="n">
        <f aca="false">'Schedule Engine'!O192</f>
        <v>46330</v>
      </c>
      <c r="G193" s="0" t="n">
        <f aca="false">'Schedule Engine'!K192</f>
        <v>20</v>
      </c>
      <c r="H193" s="0" t="n">
        <f aca="false">'Schedule Engine'!P192</f>
        <v>0</v>
      </c>
      <c r="L193" s="51"/>
      <c r="M193" s="51"/>
      <c r="S193" s="51"/>
      <c r="T193" s="51"/>
      <c r="Z193" s="51"/>
      <c r="AA193" s="51"/>
      <c r="AG193" s="51"/>
      <c r="AH193" s="51"/>
      <c r="AN193" s="51"/>
      <c r="AO193" s="51"/>
      <c r="AU193" s="51"/>
      <c r="AV193" s="51"/>
      <c r="BB193" s="51"/>
      <c r="BC193" s="51"/>
      <c r="BI193" s="51"/>
      <c r="BJ193" s="51"/>
      <c r="BP193" s="51"/>
      <c r="BQ193" s="51"/>
      <c r="BW193" s="51"/>
      <c r="BX193" s="51"/>
      <c r="CD193" s="51"/>
      <c r="CE193" s="51"/>
      <c r="CK193" s="51"/>
      <c r="CL193" s="51"/>
      <c r="CR193" s="51"/>
      <c r="CS193" s="51"/>
      <c r="CY193" s="51"/>
      <c r="CZ193" s="51"/>
      <c r="DF193" s="51"/>
      <c r="DG193" s="51"/>
      <c r="DM193" s="51"/>
      <c r="DN193" s="51"/>
      <c r="DT193" s="51"/>
      <c r="DU193" s="51"/>
      <c r="EA193" s="51"/>
      <c r="EB193" s="51"/>
      <c r="EH193" s="51"/>
      <c r="EI193" s="51"/>
      <c r="EO193" s="51"/>
      <c r="EP193" s="51"/>
      <c r="EV193" s="51"/>
      <c r="EW193" s="51"/>
      <c r="FC193" s="51"/>
      <c r="FD193" s="51"/>
      <c r="FJ193" s="51"/>
      <c r="FK193" s="51"/>
      <c r="FQ193" s="51"/>
      <c r="FR193" s="51"/>
      <c r="FX193" s="51"/>
      <c r="FY193" s="51"/>
      <c r="GE193" s="51"/>
      <c r="GF193" s="51"/>
      <c r="GL193" s="51"/>
      <c r="GM193" s="51"/>
      <c r="GS193" s="51"/>
      <c r="GT193" s="51"/>
      <c r="GZ193" s="51"/>
      <c r="HA193" s="51"/>
      <c r="HG193" s="51"/>
      <c r="HH193" s="51"/>
      <c r="HN193" s="51"/>
      <c r="HO193" s="51"/>
    </row>
    <row r="194" customFormat="false" ht="15" hidden="false" customHeight="false" outlineLevel="0" collapsed="false">
      <c r="A194" s="0" t="str">
        <f aca="false">'Schedule Engine'!B193</f>
        <v>IW14</v>
      </c>
      <c r="B194" s="0" t="str">
        <f aca="false">'Schedule Engine'!E193</f>
        <v>Stone</v>
      </c>
      <c r="C194" s="0" t="str">
        <f aca="false">'Schedule Engine'!F193</f>
        <v>Julio H</v>
      </c>
      <c r="D194" s="0" t="n">
        <f aca="false">'Schedule Engine'!G193</f>
        <v>0</v>
      </c>
      <c r="E194" s="34" t="n">
        <f aca="false">'Schedule Engine'!N193</f>
        <v>46303</v>
      </c>
      <c r="F194" s="34" t="n">
        <f aca="false">'Schedule Engine'!O193</f>
        <v>46330</v>
      </c>
      <c r="G194" s="0" t="n">
        <f aca="false">'Schedule Engine'!K193</f>
        <v>20</v>
      </c>
      <c r="H194" s="0" t="n">
        <f aca="false">'Schedule Engine'!P193</f>
        <v>0</v>
      </c>
      <c r="L194" s="51"/>
      <c r="M194" s="51"/>
      <c r="S194" s="51"/>
      <c r="T194" s="51"/>
      <c r="Z194" s="51"/>
      <c r="AA194" s="51"/>
      <c r="AG194" s="51"/>
      <c r="AH194" s="51"/>
      <c r="AN194" s="51"/>
      <c r="AO194" s="51"/>
      <c r="AU194" s="51"/>
      <c r="AV194" s="51"/>
      <c r="BB194" s="51"/>
      <c r="BC194" s="51"/>
      <c r="BI194" s="51"/>
      <c r="BJ194" s="51"/>
      <c r="BP194" s="51"/>
      <c r="BQ194" s="51"/>
      <c r="BW194" s="51"/>
      <c r="BX194" s="51"/>
      <c r="CD194" s="51"/>
      <c r="CE194" s="51"/>
      <c r="CK194" s="51"/>
      <c r="CL194" s="51"/>
      <c r="CR194" s="51"/>
      <c r="CS194" s="51"/>
      <c r="CY194" s="51"/>
      <c r="CZ194" s="51"/>
      <c r="DF194" s="51"/>
      <c r="DG194" s="51"/>
      <c r="DM194" s="51"/>
      <c r="DN194" s="51"/>
      <c r="DT194" s="51"/>
      <c r="DU194" s="51"/>
      <c r="EA194" s="51"/>
      <c r="EB194" s="51"/>
      <c r="EH194" s="51"/>
      <c r="EI194" s="51"/>
      <c r="EO194" s="51"/>
      <c r="EP194" s="51"/>
      <c r="EV194" s="51"/>
      <c r="EW194" s="51"/>
      <c r="FC194" s="51"/>
      <c r="FD194" s="51"/>
      <c r="FJ194" s="51"/>
      <c r="FK194" s="51"/>
      <c r="FQ194" s="51"/>
      <c r="FR194" s="51"/>
      <c r="FX194" s="51"/>
      <c r="FY194" s="51"/>
      <c r="GE194" s="51"/>
      <c r="GF194" s="51"/>
      <c r="GL194" s="51"/>
      <c r="GM194" s="51"/>
      <c r="GS194" s="51"/>
      <c r="GT194" s="51"/>
      <c r="GZ194" s="51"/>
      <c r="HA194" s="51"/>
      <c r="HG194" s="51"/>
      <c r="HH194" s="51"/>
      <c r="HN194" s="51"/>
      <c r="HO194" s="51"/>
    </row>
    <row r="195" customFormat="false" ht="15" hidden="false" customHeight="false" outlineLevel="0" collapsed="false">
      <c r="A195" s="0" t="str">
        <f aca="false">'Schedule Engine'!B194</f>
        <v>IW14</v>
      </c>
      <c r="B195" s="0" t="str">
        <f aca="false">'Schedule Engine'!E194</f>
        <v>Siding</v>
      </c>
      <c r="C195" s="0" t="str">
        <f aca="false">'Schedule Engine'!F194</f>
        <v>Gerardo</v>
      </c>
      <c r="D195" s="0" t="n">
        <f aca="false">'Schedule Engine'!G194</f>
        <v>0</v>
      </c>
      <c r="E195" s="34" t="n">
        <f aca="false">'Schedule Engine'!N194</f>
        <v>46303</v>
      </c>
      <c r="F195" s="34" t="n">
        <f aca="false">'Schedule Engine'!O194</f>
        <v>46330</v>
      </c>
      <c r="G195" s="0" t="n">
        <f aca="false">'Schedule Engine'!K194</f>
        <v>20</v>
      </c>
      <c r="H195" s="0" t="n">
        <f aca="false">'Schedule Engine'!P194</f>
        <v>0</v>
      </c>
      <c r="L195" s="51"/>
      <c r="M195" s="51"/>
      <c r="S195" s="51"/>
      <c r="T195" s="51"/>
      <c r="Z195" s="51"/>
      <c r="AA195" s="51"/>
      <c r="AG195" s="51"/>
      <c r="AH195" s="51"/>
      <c r="AN195" s="51"/>
      <c r="AO195" s="51"/>
      <c r="AU195" s="51"/>
      <c r="AV195" s="51"/>
      <c r="BB195" s="51"/>
      <c r="BC195" s="51"/>
      <c r="BI195" s="51"/>
      <c r="BJ195" s="51"/>
      <c r="BP195" s="51"/>
      <c r="BQ195" s="51"/>
      <c r="BW195" s="51"/>
      <c r="BX195" s="51"/>
      <c r="CD195" s="51"/>
      <c r="CE195" s="51"/>
      <c r="CK195" s="51"/>
      <c r="CL195" s="51"/>
      <c r="CR195" s="51"/>
      <c r="CS195" s="51"/>
      <c r="CY195" s="51"/>
      <c r="CZ195" s="51"/>
      <c r="DF195" s="51"/>
      <c r="DG195" s="51"/>
      <c r="DM195" s="51"/>
      <c r="DN195" s="51"/>
      <c r="DT195" s="51"/>
      <c r="DU195" s="51"/>
      <c r="EA195" s="51"/>
      <c r="EB195" s="51"/>
      <c r="EH195" s="51"/>
      <c r="EI195" s="51"/>
      <c r="EO195" s="51"/>
      <c r="EP195" s="51"/>
      <c r="EV195" s="51"/>
      <c r="EW195" s="51"/>
      <c r="FC195" s="51"/>
      <c r="FD195" s="51"/>
      <c r="FJ195" s="51"/>
      <c r="FK195" s="51"/>
      <c r="FQ195" s="51"/>
      <c r="FR195" s="51"/>
      <c r="FX195" s="51"/>
      <c r="FY195" s="51"/>
      <c r="GE195" s="51"/>
      <c r="GF195" s="51"/>
      <c r="GL195" s="51"/>
      <c r="GM195" s="51"/>
      <c r="GS195" s="51"/>
      <c r="GT195" s="51"/>
      <c r="GZ195" s="51"/>
      <c r="HA195" s="51"/>
      <c r="HG195" s="51"/>
      <c r="HH195" s="51"/>
      <c r="HN195" s="51"/>
      <c r="HO195" s="51"/>
    </row>
    <row r="196" customFormat="false" ht="15" hidden="false" customHeight="false" outlineLevel="0" collapsed="false">
      <c r="A196" s="0" t="str">
        <f aca="false">'Schedule Engine'!B195</f>
        <v>IW14</v>
      </c>
      <c r="B196" s="0" t="str">
        <f aca="false">'Schedule Engine'!E195</f>
        <v>Rough Grade</v>
      </c>
      <c r="C196" s="0" t="n">
        <f aca="false">'Schedule Engine'!F195</f>
        <v>0</v>
      </c>
      <c r="D196" s="0" t="n">
        <f aca="false">'Schedule Engine'!G195</f>
        <v>0</v>
      </c>
      <c r="E196" s="34" t="n">
        <f aca="false">'Schedule Engine'!N195</f>
        <v>46331</v>
      </c>
      <c r="F196" s="34" t="n">
        <f aca="false">'Schedule Engine'!O195</f>
        <v>46332</v>
      </c>
      <c r="G196" s="0" t="n">
        <f aca="false">'Schedule Engine'!K195</f>
        <v>2</v>
      </c>
      <c r="H196" s="0" t="n">
        <f aca="false">'Schedule Engine'!P195</f>
        <v>0</v>
      </c>
      <c r="L196" s="51"/>
      <c r="M196" s="51"/>
      <c r="S196" s="51"/>
      <c r="T196" s="51"/>
      <c r="Z196" s="51"/>
      <c r="AA196" s="51"/>
      <c r="AG196" s="51"/>
      <c r="AH196" s="51"/>
      <c r="AN196" s="51"/>
      <c r="AO196" s="51"/>
      <c r="AU196" s="51"/>
      <c r="AV196" s="51"/>
      <c r="BB196" s="51"/>
      <c r="BC196" s="51"/>
      <c r="BI196" s="51"/>
      <c r="BJ196" s="51"/>
      <c r="BP196" s="51"/>
      <c r="BQ196" s="51"/>
      <c r="BW196" s="51"/>
      <c r="BX196" s="51"/>
      <c r="CD196" s="51"/>
      <c r="CE196" s="51"/>
      <c r="CK196" s="51"/>
      <c r="CL196" s="51"/>
      <c r="CR196" s="51"/>
      <c r="CS196" s="51"/>
      <c r="CY196" s="51"/>
      <c r="CZ196" s="51"/>
      <c r="DF196" s="51"/>
      <c r="DG196" s="51"/>
      <c r="DM196" s="51"/>
      <c r="DN196" s="51"/>
      <c r="DT196" s="51"/>
      <c r="DU196" s="51"/>
      <c r="EA196" s="51"/>
      <c r="EB196" s="51"/>
      <c r="EH196" s="51"/>
      <c r="EI196" s="51"/>
      <c r="EO196" s="51"/>
      <c r="EP196" s="51"/>
      <c r="EV196" s="51"/>
      <c r="EW196" s="51"/>
      <c r="FC196" s="51"/>
      <c r="FD196" s="51"/>
      <c r="FJ196" s="51"/>
      <c r="FK196" s="51"/>
      <c r="FQ196" s="51"/>
      <c r="FR196" s="51"/>
      <c r="FX196" s="51"/>
      <c r="FY196" s="51"/>
      <c r="GE196" s="51"/>
      <c r="GF196" s="51"/>
      <c r="GL196" s="51"/>
      <c r="GM196" s="51"/>
      <c r="GS196" s="51"/>
      <c r="GT196" s="51"/>
      <c r="GZ196" s="51"/>
      <c r="HA196" s="51"/>
      <c r="HG196" s="51"/>
      <c r="HH196" s="51"/>
      <c r="HN196" s="51"/>
      <c r="HO196" s="51"/>
    </row>
    <row r="197" customFormat="false" ht="15" hidden="false" customHeight="false" outlineLevel="0" collapsed="false">
      <c r="A197" s="0" t="str">
        <f aca="false">'Schedule Engine'!B196</f>
        <v>IW14</v>
      </c>
      <c r="B197" s="0" t="str">
        <f aca="false">'Schedule Engine'!E196</f>
        <v>Irrigation</v>
      </c>
      <c r="C197" s="0" t="str">
        <f aca="false">'Schedule Engine'!F196</f>
        <v>Ramiro</v>
      </c>
      <c r="D197" s="0" t="n">
        <f aca="false">'Schedule Engine'!G196</f>
        <v>0</v>
      </c>
      <c r="E197" s="34" t="n">
        <f aca="false">'Schedule Engine'!N196</f>
        <v>46335</v>
      </c>
      <c r="F197" s="34" t="n">
        <f aca="false">'Schedule Engine'!O196</f>
        <v>46336</v>
      </c>
      <c r="G197" s="0" t="n">
        <f aca="false">'Schedule Engine'!K196</f>
        <v>2</v>
      </c>
      <c r="H197" s="0" t="n">
        <f aca="false">'Schedule Engine'!P196</f>
        <v>0</v>
      </c>
      <c r="L197" s="51"/>
      <c r="M197" s="51"/>
      <c r="S197" s="51"/>
      <c r="T197" s="51"/>
      <c r="Z197" s="51"/>
      <c r="AA197" s="51"/>
      <c r="AG197" s="51"/>
      <c r="AH197" s="51"/>
      <c r="AN197" s="51"/>
      <c r="AO197" s="51"/>
      <c r="AU197" s="51"/>
      <c r="AV197" s="51"/>
      <c r="BB197" s="51"/>
      <c r="BC197" s="51"/>
      <c r="BI197" s="51"/>
      <c r="BJ197" s="51"/>
      <c r="BP197" s="51"/>
      <c r="BQ197" s="51"/>
      <c r="BW197" s="51"/>
      <c r="BX197" s="51"/>
      <c r="CD197" s="51"/>
      <c r="CE197" s="51"/>
      <c r="CK197" s="51"/>
      <c r="CL197" s="51"/>
      <c r="CR197" s="51"/>
      <c r="CS197" s="51"/>
      <c r="CY197" s="51"/>
      <c r="CZ197" s="51"/>
      <c r="DF197" s="51"/>
      <c r="DG197" s="51"/>
      <c r="DM197" s="51"/>
      <c r="DN197" s="51"/>
      <c r="DT197" s="51"/>
      <c r="DU197" s="51"/>
      <c r="EA197" s="51"/>
      <c r="EB197" s="51"/>
      <c r="EH197" s="51"/>
      <c r="EI197" s="51"/>
      <c r="EO197" s="51"/>
      <c r="EP197" s="51"/>
      <c r="EV197" s="51"/>
      <c r="EW197" s="51"/>
      <c r="FC197" s="51"/>
      <c r="FD197" s="51"/>
      <c r="FJ197" s="51"/>
      <c r="FK197" s="51"/>
      <c r="FQ197" s="51"/>
      <c r="FR197" s="51"/>
      <c r="FX197" s="51"/>
      <c r="FY197" s="51"/>
      <c r="GE197" s="51"/>
      <c r="GF197" s="51"/>
      <c r="GL197" s="51"/>
      <c r="GM197" s="51"/>
      <c r="GS197" s="51"/>
      <c r="GT197" s="51"/>
      <c r="GZ197" s="51"/>
      <c r="HA197" s="51"/>
      <c r="HG197" s="51"/>
      <c r="HH197" s="51"/>
      <c r="HN197" s="51"/>
      <c r="HO197" s="51"/>
    </row>
    <row r="198" customFormat="false" ht="15" hidden="false" customHeight="false" outlineLevel="0" collapsed="false">
      <c r="A198" s="0" t="str">
        <f aca="false">'Schedule Engine'!B197</f>
        <v>IW14</v>
      </c>
      <c r="B198" s="0" t="str">
        <f aca="false">'Schedule Engine'!E197</f>
        <v>Finish Grade</v>
      </c>
      <c r="C198" s="0" t="str">
        <f aca="false">'Schedule Engine'!F197</f>
        <v>Jacob Hayden</v>
      </c>
      <c r="D198" s="0" t="n">
        <f aca="false">'Schedule Engine'!G197</f>
        <v>0</v>
      </c>
      <c r="E198" s="34" t="n">
        <f aca="false">'Schedule Engine'!N197</f>
        <v>46337</v>
      </c>
      <c r="F198" s="34" t="n">
        <f aca="false">'Schedule Engine'!O197</f>
        <v>46338</v>
      </c>
      <c r="G198" s="0" t="n">
        <f aca="false">'Schedule Engine'!K197</f>
        <v>2</v>
      </c>
      <c r="H198" s="0" t="n">
        <f aca="false">'Schedule Engine'!P197</f>
        <v>0</v>
      </c>
      <c r="L198" s="51"/>
      <c r="M198" s="51"/>
      <c r="S198" s="51"/>
      <c r="T198" s="51"/>
      <c r="Z198" s="51"/>
      <c r="AA198" s="51"/>
      <c r="AG198" s="51"/>
      <c r="AH198" s="51"/>
      <c r="AN198" s="51"/>
      <c r="AO198" s="51"/>
      <c r="AU198" s="51"/>
      <c r="AV198" s="51"/>
      <c r="BB198" s="51"/>
      <c r="BC198" s="51"/>
      <c r="BI198" s="51"/>
      <c r="BJ198" s="51"/>
      <c r="BP198" s="51"/>
      <c r="BQ198" s="51"/>
      <c r="BW198" s="51"/>
      <c r="BX198" s="51"/>
      <c r="CD198" s="51"/>
      <c r="CE198" s="51"/>
      <c r="CK198" s="51"/>
      <c r="CL198" s="51"/>
      <c r="CR198" s="51"/>
      <c r="CS198" s="51"/>
      <c r="CY198" s="51"/>
      <c r="CZ198" s="51"/>
      <c r="DF198" s="51"/>
      <c r="DG198" s="51"/>
      <c r="DM198" s="51"/>
      <c r="DN198" s="51"/>
      <c r="DT198" s="51"/>
      <c r="DU198" s="51"/>
      <c r="EA198" s="51"/>
      <c r="EB198" s="51"/>
      <c r="EH198" s="51"/>
      <c r="EI198" s="51"/>
      <c r="EO198" s="51"/>
      <c r="EP198" s="51"/>
      <c r="EV198" s="51"/>
      <c r="EW198" s="51"/>
      <c r="FC198" s="51"/>
      <c r="FD198" s="51"/>
      <c r="FJ198" s="51"/>
      <c r="FK198" s="51"/>
      <c r="FQ198" s="51"/>
      <c r="FR198" s="51"/>
      <c r="FX198" s="51"/>
      <c r="FY198" s="51"/>
      <c r="GE198" s="51"/>
      <c r="GF198" s="51"/>
      <c r="GL198" s="51"/>
      <c r="GM198" s="51"/>
      <c r="GS198" s="51"/>
      <c r="GT198" s="51"/>
      <c r="GZ198" s="51"/>
      <c r="HA198" s="51"/>
      <c r="HG198" s="51"/>
      <c r="HH198" s="51"/>
      <c r="HN198" s="51"/>
      <c r="HO198" s="51"/>
    </row>
    <row r="199" customFormat="false" ht="15" hidden="false" customHeight="false" outlineLevel="0" collapsed="false">
      <c r="A199" s="0" t="str">
        <f aca="false">'Schedule Engine'!B198</f>
        <v>IW14</v>
      </c>
      <c r="B199" s="0" t="str">
        <f aca="false">'Schedule Engine'!E198</f>
        <v>Landscaping</v>
      </c>
      <c r="C199" s="0" t="str">
        <f aca="false">'Schedule Engine'!F198</f>
        <v>Jacob Hayden</v>
      </c>
      <c r="D199" s="0" t="n">
        <f aca="false">'Schedule Engine'!G198</f>
        <v>0</v>
      </c>
      <c r="E199" s="34" t="n">
        <f aca="false">'Schedule Engine'!N198</f>
        <v>46337</v>
      </c>
      <c r="F199" s="34" t="n">
        <f aca="false">'Schedule Engine'!O198</f>
        <v>46338</v>
      </c>
      <c r="G199" s="0" t="n">
        <f aca="false">'Schedule Engine'!K198</f>
        <v>2</v>
      </c>
      <c r="H199" s="0" t="n">
        <f aca="false">'Schedule Engine'!P198</f>
        <v>0</v>
      </c>
      <c r="L199" s="51"/>
      <c r="M199" s="51"/>
      <c r="S199" s="51"/>
      <c r="T199" s="51"/>
      <c r="Z199" s="51"/>
      <c r="AA199" s="51"/>
      <c r="AG199" s="51"/>
      <c r="AH199" s="51"/>
      <c r="AN199" s="51"/>
      <c r="AO199" s="51"/>
      <c r="AU199" s="51"/>
      <c r="AV199" s="51"/>
      <c r="BB199" s="51"/>
      <c r="BC199" s="51"/>
      <c r="BI199" s="51"/>
      <c r="BJ199" s="51"/>
      <c r="BP199" s="51"/>
      <c r="BQ199" s="51"/>
      <c r="BW199" s="51"/>
      <c r="BX199" s="51"/>
      <c r="CD199" s="51"/>
      <c r="CE199" s="51"/>
      <c r="CK199" s="51"/>
      <c r="CL199" s="51"/>
      <c r="CR199" s="51"/>
      <c r="CS199" s="51"/>
      <c r="CY199" s="51"/>
      <c r="CZ199" s="51"/>
      <c r="DF199" s="51"/>
      <c r="DG199" s="51"/>
      <c r="DM199" s="51"/>
      <c r="DN199" s="51"/>
      <c r="DT199" s="51"/>
      <c r="DU199" s="51"/>
      <c r="EA199" s="51"/>
      <c r="EB199" s="51"/>
      <c r="EH199" s="51"/>
      <c r="EI199" s="51"/>
      <c r="EO199" s="51"/>
      <c r="EP199" s="51"/>
      <c r="EV199" s="51"/>
      <c r="EW199" s="51"/>
      <c r="FC199" s="51"/>
      <c r="FD199" s="51"/>
      <c r="FJ199" s="51"/>
      <c r="FK199" s="51"/>
      <c r="FQ199" s="51"/>
      <c r="FR199" s="51"/>
      <c r="FX199" s="51"/>
      <c r="FY199" s="51"/>
      <c r="GE199" s="51"/>
      <c r="GF199" s="51"/>
      <c r="GL199" s="51"/>
      <c r="GM199" s="51"/>
      <c r="GS199" s="51"/>
      <c r="GT199" s="51"/>
      <c r="GZ199" s="51"/>
      <c r="HA199" s="51"/>
      <c r="HG199" s="51"/>
      <c r="HH199" s="51"/>
      <c r="HN199" s="51"/>
      <c r="HO199" s="51"/>
    </row>
    <row r="200" customFormat="false" ht="15" hidden="false" customHeight="false" outlineLevel="0" collapsed="false">
      <c r="A200" s="0" t="str">
        <f aca="false">'Schedule Engine'!B199</f>
        <v>IW14</v>
      </c>
      <c r="B200" s="0" t="str">
        <f aca="false">'Schedule Engine'!E199</f>
        <v>Lawn Seeding</v>
      </c>
      <c r="C200" s="0" t="str">
        <f aca="false">'Schedule Engine'!F199</f>
        <v>TruGreen</v>
      </c>
      <c r="D200" s="0" t="n">
        <f aca="false">'Schedule Engine'!G199</f>
        <v>0</v>
      </c>
      <c r="E200" s="34" t="n">
        <f aca="false">'Schedule Engine'!N199</f>
        <v>46339</v>
      </c>
      <c r="F200" s="34" t="n">
        <f aca="false">'Schedule Engine'!O199</f>
        <v>46342</v>
      </c>
      <c r="G200" s="0" t="n">
        <f aca="false">'Schedule Engine'!K199</f>
        <v>2</v>
      </c>
      <c r="H200" s="0" t="n">
        <f aca="false">'Schedule Engine'!P199</f>
        <v>0</v>
      </c>
      <c r="L200" s="51"/>
      <c r="M200" s="51"/>
      <c r="S200" s="51"/>
      <c r="T200" s="51"/>
      <c r="Z200" s="51"/>
      <c r="AA200" s="51"/>
      <c r="AG200" s="51"/>
      <c r="AH200" s="51"/>
      <c r="AN200" s="51"/>
      <c r="AO200" s="51"/>
      <c r="AU200" s="51"/>
      <c r="AV200" s="51"/>
      <c r="BB200" s="51"/>
      <c r="BC200" s="51"/>
      <c r="BI200" s="51"/>
      <c r="BJ200" s="51"/>
      <c r="BP200" s="51"/>
      <c r="BQ200" s="51"/>
      <c r="BW200" s="51"/>
      <c r="BX200" s="51"/>
      <c r="CD200" s="51"/>
      <c r="CE200" s="51"/>
      <c r="CK200" s="51"/>
      <c r="CL200" s="51"/>
      <c r="CR200" s="51"/>
      <c r="CS200" s="51"/>
      <c r="CY200" s="51"/>
      <c r="CZ200" s="51"/>
      <c r="DF200" s="51"/>
      <c r="DG200" s="51"/>
      <c r="DM200" s="51"/>
      <c r="DN200" s="51"/>
      <c r="DT200" s="51"/>
      <c r="DU200" s="51"/>
      <c r="EA200" s="51"/>
      <c r="EB200" s="51"/>
      <c r="EH200" s="51"/>
      <c r="EI200" s="51"/>
      <c r="EO200" s="51"/>
      <c r="EP200" s="51"/>
      <c r="EV200" s="51"/>
      <c r="EW200" s="51"/>
      <c r="FC200" s="51"/>
      <c r="FD200" s="51"/>
      <c r="FJ200" s="51"/>
      <c r="FK200" s="51"/>
      <c r="FQ200" s="51"/>
      <c r="FR200" s="51"/>
      <c r="FX200" s="51"/>
      <c r="FY200" s="51"/>
      <c r="GE200" s="51"/>
      <c r="GF200" s="51"/>
      <c r="GL200" s="51"/>
      <c r="GM200" s="51"/>
      <c r="GS200" s="51"/>
      <c r="GT200" s="51"/>
      <c r="GZ200" s="51"/>
      <c r="HA200" s="51"/>
      <c r="HG200" s="51"/>
      <c r="HH200" s="51"/>
      <c r="HN200" s="51"/>
      <c r="HO200" s="51"/>
    </row>
    <row r="201" customFormat="false" ht="15" hidden="false" customHeight="false" outlineLevel="0" collapsed="false">
      <c r="A201" s="0" t="str">
        <f aca="false">'Schedule Engine'!B200</f>
        <v>IW14</v>
      </c>
      <c r="B201" s="0" t="str">
        <f aca="false">'Schedule Engine'!E200</f>
        <v>Gutter drains</v>
      </c>
      <c r="C201" s="0" t="n">
        <f aca="false">'Schedule Engine'!F200</f>
        <v>0</v>
      </c>
      <c r="D201" s="0" t="n">
        <f aca="false">'Schedule Engine'!G200</f>
        <v>0</v>
      </c>
      <c r="E201" s="34" t="n">
        <f aca="false">'Schedule Engine'!N200</f>
        <v>46335</v>
      </c>
      <c r="F201" s="34" t="n">
        <f aca="false">'Schedule Engine'!O200</f>
        <v>46336</v>
      </c>
      <c r="G201" s="0" t="n">
        <f aca="false">'Schedule Engine'!K200</f>
        <v>2</v>
      </c>
      <c r="H201" s="0" t="n">
        <f aca="false">'Schedule Engine'!P200</f>
        <v>0</v>
      </c>
      <c r="L201" s="51"/>
      <c r="M201" s="51"/>
      <c r="S201" s="51"/>
      <c r="T201" s="51"/>
      <c r="Z201" s="51"/>
      <c r="AA201" s="51"/>
      <c r="AG201" s="51"/>
      <c r="AH201" s="51"/>
      <c r="AN201" s="51"/>
      <c r="AO201" s="51"/>
      <c r="AU201" s="51"/>
      <c r="AV201" s="51"/>
      <c r="BB201" s="51"/>
      <c r="BC201" s="51"/>
      <c r="BI201" s="51"/>
      <c r="BJ201" s="51"/>
      <c r="BP201" s="51"/>
      <c r="BQ201" s="51"/>
      <c r="BW201" s="51"/>
      <c r="BX201" s="51"/>
      <c r="CD201" s="51"/>
      <c r="CE201" s="51"/>
      <c r="CK201" s="51"/>
      <c r="CL201" s="51"/>
      <c r="CR201" s="51"/>
      <c r="CS201" s="51"/>
      <c r="CY201" s="51"/>
      <c r="CZ201" s="51"/>
      <c r="DF201" s="51"/>
      <c r="DG201" s="51"/>
      <c r="DM201" s="51"/>
      <c r="DN201" s="51"/>
      <c r="DT201" s="51"/>
      <c r="DU201" s="51"/>
      <c r="EA201" s="51"/>
      <c r="EB201" s="51"/>
      <c r="EH201" s="51"/>
      <c r="EI201" s="51"/>
      <c r="EO201" s="51"/>
      <c r="EP201" s="51"/>
      <c r="EV201" s="51"/>
      <c r="EW201" s="51"/>
      <c r="FC201" s="51"/>
      <c r="FD201" s="51"/>
      <c r="FJ201" s="51"/>
      <c r="FK201" s="51"/>
      <c r="FQ201" s="51"/>
      <c r="FR201" s="51"/>
      <c r="FX201" s="51"/>
      <c r="FY201" s="51"/>
      <c r="GE201" s="51"/>
      <c r="GF201" s="51"/>
      <c r="GL201" s="51"/>
      <c r="GM201" s="51"/>
      <c r="GS201" s="51"/>
      <c r="GT201" s="51"/>
      <c r="GZ201" s="51"/>
      <c r="HA201" s="51"/>
      <c r="HG201" s="51"/>
      <c r="HH201" s="51"/>
      <c r="HN201" s="51"/>
      <c r="HO201" s="51"/>
    </row>
    <row r="202" customFormat="false" ht="15" hidden="false" customHeight="false" outlineLevel="0" collapsed="false">
      <c r="A202" s="0" t="str">
        <f aca="false">'Schedule Engine'!B201</f>
        <v>IW14</v>
      </c>
      <c r="B202" s="0" t="str">
        <f aca="false">'Schedule Engine'!E201</f>
        <v>HVAC Rough</v>
      </c>
      <c r="C202" s="0" t="str">
        <f aca="false">'Schedule Engine'!F201</f>
        <v>Adco</v>
      </c>
      <c r="D202" s="0" t="n">
        <f aca="false">'Schedule Engine'!G201</f>
        <v>0</v>
      </c>
      <c r="E202" s="34" t="n">
        <f aca="false">'Schedule Engine'!N201</f>
        <v>46297</v>
      </c>
      <c r="F202" s="34" t="n">
        <f aca="false">'Schedule Engine'!O201</f>
        <v>46303</v>
      </c>
      <c r="G202" s="0" t="n">
        <f aca="false">'Schedule Engine'!K201</f>
        <v>5</v>
      </c>
      <c r="H202" s="0" t="n">
        <f aca="false">'Schedule Engine'!P201</f>
        <v>0</v>
      </c>
      <c r="L202" s="51"/>
      <c r="M202" s="51"/>
      <c r="S202" s="51"/>
      <c r="T202" s="51"/>
      <c r="Z202" s="51"/>
      <c r="AA202" s="51"/>
      <c r="AG202" s="51"/>
      <c r="AH202" s="51"/>
      <c r="AN202" s="51"/>
      <c r="AO202" s="51"/>
      <c r="AU202" s="51"/>
      <c r="AV202" s="51"/>
      <c r="BB202" s="51"/>
      <c r="BC202" s="51"/>
      <c r="BI202" s="51"/>
      <c r="BJ202" s="51"/>
      <c r="BP202" s="51"/>
      <c r="BQ202" s="51"/>
      <c r="BW202" s="51"/>
      <c r="BX202" s="51"/>
      <c r="CD202" s="51"/>
      <c r="CE202" s="51"/>
      <c r="CK202" s="51"/>
      <c r="CL202" s="51"/>
      <c r="CR202" s="51"/>
      <c r="CS202" s="51"/>
      <c r="CY202" s="51"/>
      <c r="CZ202" s="51"/>
      <c r="DF202" s="51"/>
      <c r="DG202" s="51"/>
      <c r="DM202" s="51"/>
      <c r="DN202" s="51"/>
      <c r="DT202" s="51"/>
      <c r="DU202" s="51"/>
      <c r="EA202" s="51"/>
      <c r="EB202" s="51"/>
      <c r="EH202" s="51"/>
      <c r="EI202" s="51"/>
      <c r="EO202" s="51"/>
      <c r="EP202" s="51"/>
      <c r="EV202" s="51"/>
      <c r="EW202" s="51"/>
      <c r="FC202" s="51"/>
      <c r="FD202" s="51"/>
      <c r="FJ202" s="51"/>
      <c r="FK202" s="51"/>
      <c r="FQ202" s="51"/>
      <c r="FR202" s="51"/>
      <c r="FX202" s="51"/>
      <c r="FY202" s="51"/>
      <c r="GE202" s="51"/>
      <c r="GF202" s="51"/>
      <c r="GL202" s="51"/>
      <c r="GM202" s="51"/>
      <c r="GS202" s="51"/>
      <c r="GT202" s="51"/>
      <c r="GZ202" s="51"/>
      <c r="HA202" s="51"/>
      <c r="HG202" s="51"/>
      <c r="HH202" s="51"/>
      <c r="HN202" s="51"/>
      <c r="HO202" s="51"/>
    </row>
    <row r="203" customFormat="false" ht="15" hidden="false" customHeight="false" outlineLevel="0" collapsed="false">
      <c r="A203" s="0" t="str">
        <f aca="false">'Schedule Engine'!B202</f>
        <v>IW14</v>
      </c>
      <c r="B203" s="0" t="str">
        <f aca="false">'Schedule Engine'!E202</f>
        <v>Plumbing Rough</v>
      </c>
      <c r="C203" s="0" t="str">
        <f aca="false">'Schedule Engine'!F202</f>
        <v>Hays</v>
      </c>
      <c r="D203" s="0" t="str">
        <f aca="false">'Schedule Engine'!G202</f>
        <v>Hays</v>
      </c>
      <c r="E203" s="34" t="n">
        <f aca="false">'Schedule Engine'!N202</f>
        <v>46297</v>
      </c>
      <c r="F203" s="34" t="n">
        <f aca="false">'Schedule Engine'!O202</f>
        <v>46303</v>
      </c>
      <c r="G203" s="0" t="n">
        <f aca="false">'Schedule Engine'!K202</f>
        <v>5</v>
      </c>
      <c r="H203" s="0" t="n">
        <f aca="false">'Schedule Engine'!P202</f>
        <v>0</v>
      </c>
      <c r="L203" s="51"/>
      <c r="M203" s="51"/>
      <c r="S203" s="51"/>
      <c r="T203" s="51"/>
      <c r="Z203" s="51"/>
      <c r="AA203" s="51"/>
      <c r="AG203" s="51"/>
      <c r="AH203" s="51"/>
      <c r="AN203" s="51"/>
      <c r="AO203" s="51"/>
      <c r="AU203" s="51"/>
      <c r="AV203" s="51"/>
      <c r="BB203" s="51"/>
      <c r="BC203" s="51"/>
      <c r="BI203" s="51"/>
      <c r="BJ203" s="51"/>
      <c r="BP203" s="51"/>
      <c r="BQ203" s="51"/>
      <c r="BW203" s="51"/>
      <c r="BX203" s="51"/>
      <c r="CD203" s="51"/>
      <c r="CE203" s="51"/>
      <c r="CK203" s="51"/>
      <c r="CL203" s="51"/>
      <c r="CR203" s="51"/>
      <c r="CS203" s="51"/>
      <c r="CY203" s="51"/>
      <c r="CZ203" s="51"/>
      <c r="DF203" s="51"/>
      <c r="DG203" s="51"/>
      <c r="DM203" s="51"/>
      <c r="DN203" s="51"/>
      <c r="DT203" s="51"/>
      <c r="DU203" s="51"/>
      <c r="EA203" s="51"/>
      <c r="EB203" s="51"/>
      <c r="EH203" s="51"/>
      <c r="EI203" s="51"/>
      <c r="EO203" s="51"/>
      <c r="EP203" s="51"/>
      <c r="EV203" s="51"/>
      <c r="EW203" s="51"/>
      <c r="FC203" s="51"/>
      <c r="FD203" s="51"/>
      <c r="FJ203" s="51"/>
      <c r="FK203" s="51"/>
      <c r="FQ203" s="51"/>
      <c r="FR203" s="51"/>
      <c r="FX203" s="51"/>
      <c r="FY203" s="51"/>
      <c r="GE203" s="51"/>
      <c r="GF203" s="51"/>
      <c r="GL203" s="51"/>
      <c r="GM203" s="51"/>
      <c r="GS203" s="51"/>
      <c r="GT203" s="51"/>
      <c r="GZ203" s="51"/>
      <c r="HA203" s="51"/>
      <c r="HG203" s="51"/>
      <c r="HH203" s="51"/>
      <c r="HN203" s="51"/>
      <c r="HO203" s="51"/>
    </row>
    <row r="204" customFormat="false" ht="15" hidden="false" customHeight="false" outlineLevel="0" collapsed="false">
      <c r="A204" s="0" t="str">
        <f aca="false">'Schedule Engine'!B203</f>
        <v>IW14</v>
      </c>
      <c r="B204" s="0" t="str">
        <f aca="false">'Schedule Engine'!E203</f>
        <v>Electrical Rough</v>
      </c>
      <c r="C204" s="0" t="str">
        <f aca="false">'Schedule Engine'!F203</f>
        <v>Dave Kaler</v>
      </c>
      <c r="D204" s="0" t="n">
        <f aca="false">'Schedule Engine'!G203</f>
        <v>0</v>
      </c>
      <c r="E204" s="34" t="n">
        <f aca="false">'Schedule Engine'!N203</f>
        <v>46297</v>
      </c>
      <c r="F204" s="34" t="n">
        <f aca="false">'Schedule Engine'!O203</f>
        <v>46310</v>
      </c>
      <c r="G204" s="0" t="n">
        <f aca="false">'Schedule Engine'!K203</f>
        <v>10</v>
      </c>
      <c r="H204" s="0" t="n">
        <f aca="false">'Schedule Engine'!P203</f>
        <v>0</v>
      </c>
      <c r="L204" s="51"/>
      <c r="M204" s="51"/>
      <c r="S204" s="51"/>
      <c r="T204" s="51"/>
      <c r="Z204" s="51"/>
      <c r="AA204" s="51"/>
      <c r="AG204" s="51"/>
      <c r="AH204" s="51"/>
      <c r="AN204" s="51"/>
      <c r="AO204" s="51"/>
      <c r="AU204" s="51"/>
      <c r="AV204" s="51"/>
      <c r="BB204" s="51"/>
      <c r="BC204" s="51"/>
      <c r="BI204" s="51"/>
      <c r="BJ204" s="51"/>
      <c r="BP204" s="51"/>
      <c r="BQ204" s="51"/>
      <c r="BW204" s="51"/>
      <c r="BX204" s="51"/>
      <c r="CD204" s="51"/>
      <c r="CE204" s="51"/>
      <c r="CK204" s="51"/>
      <c r="CL204" s="51"/>
      <c r="CR204" s="51"/>
      <c r="CS204" s="51"/>
      <c r="CY204" s="51"/>
      <c r="CZ204" s="51"/>
      <c r="DF204" s="51"/>
      <c r="DG204" s="51"/>
      <c r="DM204" s="51"/>
      <c r="DN204" s="51"/>
      <c r="DT204" s="51"/>
      <c r="DU204" s="51"/>
      <c r="EA204" s="51"/>
      <c r="EB204" s="51"/>
      <c r="EH204" s="51"/>
      <c r="EI204" s="51"/>
      <c r="EO204" s="51"/>
      <c r="EP204" s="51"/>
      <c r="EV204" s="51"/>
      <c r="EW204" s="51"/>
      <c r="FC204" s="51"/>
      <c r="FD204" s="51"/>
      <c r="FJ204" s="51"/>
      <c r="FK204" s="51"/>
      <c r="FQ204" s="51"/>
      <c r="FR204" s="51"/>
      <c r="FX204" s="51"/>
      <c r="FY204" s="51"/>
      <c r="GE204" s="51"/>
      <c r="GF204" s="51"/>
      <c r="GL204" s="51"/>
      <c r="GM204" s="51"/>
      <c r="GS204" s="51"/>
      <c r="GT204" s="51"/>
      <c r="GZ204" s="51"/>
      <c r="HA204" s="51"/>
      <c r="HG204" s="51"/>
      <c r="HH204" s="51"/>
      <c r="HN204" s="51"/>
      <c r="HO204" s="51"/>
    </row>
    <row r="205" customFormat="false" ht="15" hidden="false" customHeight="false" outlineLevel="0" collapsed="false">
      <c r="A205" s="0" t="str">
        <f aca="false">'Schedule Engine'!B204</f>
        <v>IW14</v>
      </c>
      <c r="B205" s="0" t="str">
        <f aca="false">'Schedule Engine'!E204</f>
        <v>Insulation Walls</v>
      </c>
      <c r="C205" s="0" t="str">
        <f aca="false">'Schedule Engine'!F204</f>
        <v>Tyler Champion</v>
      </c>
      <c r="D205" s="0" t="n">
        <f aca="false">'Schedule Engine'!G204</f>
        <v>0</v>
      </c>
      <c r="E205" s="34" t="n">
        <f aca="false">'Schedule Engine'!N204</f>
        <v>46311</v>
      </c>
      <c r="F205" s="34" t="n">
        <f aca="false">'Schedule Engine'!O204</f>
        <v>46314</v>
      </c>
      <c r="G205" s="0" t="n">
        <f aca="false">'Schedule Engine'!K204</f>
        <v>2</v>
      </c>
      <c r="H205" s="0" t="n">
        <f aca="false">'Schedule Engine'!P204</f>
        <v>0</v>
      </c>
      <c r="L205" s="51"/>
      <c r="M205" s="51"/>
      <c r="S205" s="51"/>
      <c r="T205" s="51"/>
      <c r="Z205" s="51"/>
      <c r="AA205" s="51"/>
      <c r="AG205" s="51"/>
      <c r="AH205" s="51"/>
      <c r="AN205" s="51"/>
      <c r="AO205" s="51"/>
      <c r="AU205" s="51"/>
      <c r="AV205" s="51"/>
      <c r="BB205" s="51"/>
      <c r="BC205" s="51"/>
      <c r="BI205" s="51"/>
      <c r="BJ205" s="51"/>
      <c r="BP205" s="51"/>
      <c r="BQ205" s="51"/>
      <c r="BW205" s="51"/>
      <c r="BX205" s="51"/>
      <c r="CD205" s="51"/>
      <c r="CE205" s="51"/>
      <c r="CK205" s="51"/>
      <c r="CL205" s="51"/>
      <c r="CR205" s="51"/>
      <c r="CS205" s="51"/>
      <c r="CY205" s="51"/>
      <c r="CZ205" s="51"/>
      <c r="DF205" s="51"/>
      <c r="DG205" s="51"/>
      <c r="DM205" s="51"/>
      <c r="DN205" s="51"/>
      <c r="DT205" s="51"/>
      <c r="DU205" s="51"/>
      <c r="EA205" s="51"/>
      <c r="EB205" s="51"/>
      <c r="EH205" s="51"/>
      <c r="EI205" s="51"/>
      <c r="EO205" s="51"/>
      <c r="EP205" s="51"/>
      <c r="EV205" s="51"/>
      <c r="EW205" s="51"/>
      <c r="FC205" s="51"/>
      <c r="FD205" s="51"/>
      <c r="FJ205" s="51"/>
      <c r="FK205" s="51"/>
      <c r="FQ205" s="51"/>
      <c r="FR205" s="51"/>
      <c r="FX205" s="51"/>
      <c r="FY205" s="51"/>
      <c r="GE205" s="51"/>
      <c r="GF205" s="51"/>
      <c r="GL205" s="51"/>
      <c r="GM205" s="51"/>
      <c r="GS205" s="51"/>
      <c r="GT205" s="51"/>
      <c r="GZ205" s="51"/>
      <c r="HA205" s="51"/>
      <c r="HG205" s="51"/>
      <c r="HH205" s="51"/>
      <c r="HN205" s="51"/>
      <c r="HO205" s="51"/>
    </row>
    <row r="206" customFormat="false" ht="15" hidden="false" customHeight="false" outlineLevel="0" collapsed="false">
      <c r="A206" s="0" t="str">
        <f aca="false">'Schedule Engine'!B205</f>
        <v>IW14</v>
      </c>
      <c r="B206" s="0" t="str">
        <f aca="false">'Schedule Engine'!E205</f>
        <v>Sheetrock</v>
      </c>
      <c r="C206" s="0" t="str">
        <f aca="false">'Schedule Engine'!F205</f>
        <v>Bernall Constr.</v>
      </c>
      <c r="D206" s="0" t="n">
        <f aca="false">'Schedule Engine'!G205</f>
        <v>0</v>
      </c>
      <c r="E206" s="34" t="n">
        <f aca="false">'Schedule Engine'!N205</f>
        <v>46315</v>
      </c>
      <c r="F206" s="34" t="n">
        <f aca="false">'Schedule Engine'!O205</f>
        <v>46335</v>
      </c>
      <c r="G206" s="0" t="n">
        <f aca="false">'Schedule Engine'!K205</f>
        <v>15</v>
      </c>
      <c r="H206" s="0" t="n">
        <f aca="false">'Schedule Engine'!P205</f>
        <v>0</v>
      </c>
      <c r="L206" s="51"/>
      <c r="M206" s="51"/>
      <c r="S206" s="51"/>
      <c r="T206" s="51"/>
      <c r="Z206" s="51"/>
      <c r="AA206" s="51"/>
      <c r="AG206" s="51"/>
      <c r="AH206" s="51"/>
      <c r="AN206" s="51"/>
      <c r="AO206" s="51"/>
      <c r="AU206" s="51"/>
      <c r="AV206" s="51"/>
      <c r="BB206" s="51"/>
      <c r="BC206" s="51"/>
      <c r="BI206" s="51"/>
      <c r="BJ206" s="51"/>
      <c r="BP206" s="51"/>
      <c r="BQ206" s="51"/>
      <c r="BW206" s="51"/>
      <c r="BX206" s="51"/>
      <c r="CD206" s="51"/>
      <c r="CE206" s="51"/>
      <c r="CK206" s="51"/>
      <c r="CL206" s="51"/>
      <c r="CR206" s="51"/>
      <c r="CS206" s="51"/>
      <c r="CY206" s="51"/>
      <c r="CZ206" s="51"/>
      <c r="DF206" s="51"/>
      <c r="DG206" s="51"/>
      <c r="DM206" s="51"/>
      <c r="DN206" s="51"/>
      <c r="DT206" s="51"/>
      <c r="DU206" s="51"/>
      <c r="EA206" s="51"/>
      <c r="EB206" s="51"/>
      <c r="EH206" s="51"/>
      <c r="EI206" s="51"/>
      <c r="EO206" s="51"/>
      <c r="EP206" s="51"/>
      <c r="EV206" s="51"/>
      <c r="EW206" s="51"/>
      <c r="FC206" s="51"/>
      <c r="FD206" s="51"/>
      <c r="FJ206" s="51"/>
      <c r="FK206" s="51"/>
      <c r="FQ206" s="51"/>
      <c r="FR206" s="51"/>
      <c r="FX206" s="51"/>
      <c r="FY206" s="51"/>
      <c r="GE206" s="51"/>
      <c r="GF206" s="51"/>
      <c r="GL206" s="51"/>
      <c r="GM206" s="51"/>
      <c r="GS206" s="51"/>
      <c r="GT206" s="51"/>
      <c r="GZ206" s="51"/>
      <c r="HA206" s="51"/>
      <c r="HG206" s="51"/>
      <c r="HH206" s="51"/>
      <c r="HN206" s="51"/>
      <c r="HO206" s="51"/>
    </row>
    <row r="207" customFormat="false" ht="15" hidden="false" customHeight="false" outlineLevel="0" collapsed="false">
      <c r="A207" s="0" t="str">
        <f aca="false">'Schedule Engine'!B206</f>
        <v>IW14</v>
      </c>
      <c r="B207" s="0" t="str">
        <f aca="false">'Schedule Engine'!E206</f>
        <v>Painting Primer</v>
      </c>
      <c r="C207" s="0" t="str">
        <f aca="false">'Schedule Engine'!F206</f>
        <v>L&amp;L Painting</v>
      </c>
      <c r="D207" s="0" t="n">
        <f aca="false">'Schedule Engine'!G206</f>
        <v>0</v>
      </c>
      <c r="E207" s="34" t="n">
        <f aca="false">'Schedule Engine'!N206</f>
        <v>46336</v>
      </c>
      <c r="F207" s="34" t="n">
        <f aca="false">'Schedule Engine'!O206</f>
        <v>46338</v>
      </c>
      <c r="G207" s="0" t="n">
        <f aca="false">'Schedule Engine'!K206</f>
        <v>3</v>
      </c>
      <c r="H207" s="0" t="n">
        <f aca="false">'Schedule Engine'!P206</f>
        <v>0</v>
      </c>
      <c r="L207" s="51"/>
      <c r="M207" s="51"/>
      <c r="S207" s="51"/>
      <c r="T207" s="51"/>
      <c r="Z207" s="51"/>
      <c r="AA207" s="51"/>
      <c r="AG207" s="51"/>
      <c r="AH207" s="51"/>
      <c r="AN207" s="51"/>
      <c r="AO207" s="51"/>
      <c r="AU207" s="51"/>
      <c r="AV207" s="51"/>
      <c r="BB207" s="51"/>
      <c r="BC207" s="51"/>
      <c r="BI207" s="51"/>
      <c r="BJ207" s="51"/>
      <c r="BP207" s="51"/>
      <c r="BQ207" s="51"/>
      <c r="BW207" s="51"/>
      <c r="BX207" s="51"/>
      <c r="CD207" s="51"/>
      <c r="CE207" s="51"/>
      <c r="CK207" s="51"/>
      <c r="CL207" s="51"/>
      <c r="CR207" s="51"/>
      <c r="CS207" s="51"/>
      <c r="CY207" s="51"/>
      <c r="CZ207" s="51"/>
      <c r="DF207" s="51"/>
      <c r="DG207" s="51"/>
      <c r="DM207" s="51"/>
      <c r="DN207" s="51"/>
      <c r="DT207" s="51"/>
      <c r="DU207" s="51"/>
      <c r="EA207" s="51"/>
      <c r="EB207" s="51"/>
      <c r="EH207" s="51"/>
      <c r="EI207" s="51"/>
      <c r="EO207" s="51"/>
      <c r="EP207" s="51"/>
      <c r="EV207" s="51"/>
      <c r="EW207" s="51"/>
      <c r="FC207" s="51"/>
      <c r="FD207" s="51"/>
      <c r="FJ207" s="51"/>
      <c r="FK207" s="51"/>
      <c r="FQ207" s="51"/>
      <c r="FR207" s="51"/>
      <c r="FX207" s="51"/>
      <c r="FY207" s="51"/>
      <c r="GE207" s="51"/>
      <c r="GF207" s="51"/>
      <c r="GL207" s="51"/>
      <c r="GM207" s="51"/>
      <c r="GS207" s="51"/>
      <c r="GT207" s="51"/>
      <c r="GZ207" s="51"/>
      <c r="HA207" s="51"/>
      <c r="HG207" s="51"/>
      <c r="HH207" s="51"/>
      <c r="HN207" s="51"/>
      <c r="HO207" s="51"/>
    </row>
    <row r="208" customFormat="false" ht="15" hidden="false" customHeight="false" outlineLevel="0" collapsed="false">
      <c r="A208" s="0" t="str">
        <f aca="false">'Schedule Engine'!B207</f>
        <v>IW14</v>
      </c>
      <c r="B208" s="0" t="str">
        <f aca="false">'Schedule Engine'!E207</f>
        <v>Garage Doors</v>
      </c>
      <c r="C208" s="0" t="str">
        <f aca="false">'Schedule Engine'!F207</f>
        <v>Danny Liedecher</v>
      </c>
      <c r="D208" s="0" t="n">
        <f aca="false">'Schedule Engine'!G207</f>
        <v>0</v>
      </c>
      <c r="E208" s="34" t="n">
        <f aca="false">'Schedule Engine'!N207</f>
        <v>46339</v>
      </c>
      <c r="F208" s="34" t="n">
        <f aca="false">'Schedule Engine'!O207</f>
        <v>46342</v>
      </c>
      <c r="G208" s="0" t="n">
        <f aca="false">'Schedule Engine'!K207</f>
        <v>2</v>
      </c>
      <c r="H208" s="0" t="n">
        <f aca="false">'Schedule Engine'!P207</f>
        <v>0</v>
      </c>
      <c r="L208" s="51"/>
      <c r="M208" s="51"/>
      <c r="S208" s="51"/>
      <c r="T208" s="51"/>
      <c r="Z208" s="51"/>
      <c r="AA208" s="51"/>
      <c r="AG208" s="51"/>
      <c r="AH208" s="51"/>
      <c r="AN208" s="51"/>
      <c r="AO208" s="51"/>
      <c r="AU208" s="51"/>
      <c r="AV208" s="51"/>
      <c r="BB208" s="51"/>
      <c r="BC208" s="51"/>
      <c r="BI208" s="51"/>
      <c r="BJ208" s="51"/>
      <c r="BP208" s="51"/>
      <c r="BQ208" s="51"/>
      <c r="BW208" s="51"/>
      <c r="BX208" s="51"/>
      <c r="CD208" s="51"/>
      <c r="CE208" s="51"/>
      <c r="CK208" s="51"/>
      <c r="CL208" s="51"/>
      <c r="CR208" s="51"/>
      <c r="CS208" s="51"/>
      <c r="CY208" s="51"/>
      <c r="CZ208" s="51"/>
      <c r="DF208" s="51"/>
      <c r="DG208" s="51"/>
      <c r="DM208" s="51"/>
      <c r="DN208" s="51"/>
      <c r="DT208" s="51"/>
      <c r="DU208" s="51"/>
      <c r="EA208" s="51"/>
      <c r="EB208" s="51"/>
      <c r="EH208" s="51"/>
      <c r="EI208" s="51"/>
      <c r="EO208" s="51"/>
      <c r="EP208" s="51"/>
      <c r="EV208" s="51"/>
      <c r="EW208" s="51"/>
      <c r="FC208" s="51"/>
      <c r="FD208" s="51"/>
      <c r="FJ208" s="51"/>
      <c r="FK208" s="51"/>
      <c r="FQ208" s="51"/>
      <c r="FR208" s="51"/>
      <c r="FX208" s="51"/>
      <c r="FY208" s="51"/>
      <c r="GE208" s="51"/>
      <c r="GF208" s="51"/>
      <c r="GL208" s="51"/>
      <c r="GM208" s="51"/>
      <c r="GS208" s="51"/>
      <c r="GT208" s="51"/>
      <c r="GZ208" s="51"/>
      <c r="HA208" s="51"/>
      <c r="HG208" s="51"/>
      <c r="HH208" s="51"/>
      <c r="HN208" s="51"/>
      <c r="HO208" s="51"/>
    </row>
    <row r="209" customFormat="false" ht="15" hidden="false" customHeight="false" outlineLevel="0" collapsed="false">
      <c r="A209" s="0" t="str">
        <f aca="false">'Schedule Engine'!B208</f>
        <v>IW14</v>
      </c>
      <c r="B209" s="0" t="str">
        <f aca="false">'Schedule Engine'!E208</f>
        <v>Flooring</v>
      </c>
      <c r="C209" s="0" t="str">
        <f aca="false">'Schedule Engine'!F208</f>
        <v>LW Contracting</v>
      </c>
      <c r="D209" s="0" t="n">
        <f aca="false">'Schedule Engine'!G208</f>
        <v>0</v>
      </c>
      <c r="E209" s="34" t="n">
        <f aca="false">'Schedule Engine'!N208</f>
        <v>46339</v>
      </c>
      <c r="F209" s="34" t="n">
        <f aca="false">'Schedule Engine'!O208</f>
        <v>46345</v>
      </c>
      <c r="G209" s="0" t="n">
        <f aca="false">'Schedule Engine'!K208</f>
        <v>5</v>
      </c>
      <c r="H209" s="0" t="n">
        <f aca="false">'Schedule Engine'!P208</f>
        <v>0</v>
      </c>
      <c r="L209" s="51"/>
      <c r="M209" s="51"/>
      <c r="S209" s="51"/>
      <c r="T209" s="51"/>
      <c r="Z209" s="51"/>
      <c r="AA209" s="51"/>
      <c r="AG209" s="51"/>
      <c r="AH209" s="51"/>
      <c r="AN209" s="51"/>
      <c r="AO209" s="51"/>
      <c r="AU209" s="51"/>
      <c r="AV209" s="51"/>
      <c r="BB209" s="51"/>
      <c r="BC209" s="51"/>
      <c r="BI209" s="51"/>
      <c r="BJ209" s="51"/>
      <c r="BP209" s="51"/>
      <c r="BQ209" s="51"/>
      <c r="BW209" s="51"/>
      <c r="BX209" s="51"/>
      <c r="CD209" s="51"/>
      <c r="CE209" s="51"/>
      <c r="CK209" s="51"/>
      <c r="CL209" s="51"/>
      <c r="CR209" s="51"/>
      <c r="CS209" s="51"/>
      <c r="CY209" s="51"/>
      <c r="CZ209" s="51"/>
      <c r="DF209" s="51"/>
      <c r="DG209" s="51"/>
      <c r="DM209" s="51"/>
      <c r="DN209" s="51"/>
      <c r="DT209" s="51"/>
      <c r="DU209" s="51"/>
      <c r="EA209" s="51"/>
      <c r="EB209" s="51"/>
      <c r="EH209" s="51"/>
      <c r="EI209" s="51"/>
      <c r="EO209" s="51"/>
      <c r="EP209" s="51"/>
      <c r="EV209" s="51"/>
      <c r="EW209" s="51"/>
      <c r="FC209" s="51"/>
      <c r="FD209" s="51"/>
      <c r="FJ209" s="51"/>
      <c r="FK209" s="51"/>
      <c r="FQ209" s="51"/>
      <c r="FR209" s="51"/>
      <c r="FX209" s="51"/>
      <c r="FY209" s="51"/>
      <c r="GE209" s="51"/>
      <c r="GF209" s="51"/>
      <c r="GL209" s="51"/>
      <c r="GM209" s="51"/>
      <c r="GS209" s="51"/>
      <c r="GT209" s="51"/>
      <c r="GZ209" s="51"/>
      <c r="HA209" s="51"/>
      <c r="HG209" s="51"/>
      <c r="HH209" s="51"/>
      <c r="HN209" s="51"/>
      <c r="HO209" s="51"/>
    </row>
    <row r="210" customFormat="false" ht="15" hidden="false" customHeight="false" outlineLevel="0" collapsed="false">
      <c r="A210" s="0" t="str">
        <f aca="false">'Schedule Engine'!B209</f>
        <v>IW14</v>
      </c>
      <c r="B210" s="0" t="str">
        <f aca="false">'Schedule Engine'!E209</f>
        <v>Tile Work</v>
      </c>
      <c r="C210" s="0" t="str">
        <f aca="false">'Schedule Engine'!F209</f>
        <v>LW Contracting</v>
      </c>
      <c r="D210" s="0" t="n">
        <f aca="false">'Schedule Engine'!G209</f>
        <v>0</v>
      </c>
      <c r="E210" s="34" t="n">
        <f aca="false">'Schedule Engine'!N209</f>
        <v>46339</v>
      </c>
      <c r="F210" s="34" t="n">
        <f aca="false">'Schedule Engine'!O209</f>
        <v>46350</v>
      </c>
      <c r="G210" s="0" t="n">
        <f aca="false">'Schedule Engine'!K209</f>
        <v>8</v>
      </c>
      <c r="H210" s="0" t="n">
        <f aca="false">'Schedule Engine'!P209</f>
        <v>0</v>
      </c>
      <c r="L210" s="51"/>
      <c r="M210" s="51"/>
      <c r="S210" s="51"/>
      <c r="T210" s="51"/>
      <c r="Z210" s="51"/>
      <c r="AA210" s="51"/>
      <c r="AG210" s="51"/>
      <c r="AH210" s="51"/>
      <c r="AN210" s="51"/>
      <c r="AO210" s="51"/>
      <c r="AU210" s="51"/>
      <c r="AV210" s="51"/>
      <c r="BB210" s="51"/>
      <c r="BC210" s="51"/>
      <c r="BI210" s="51"/>
      <c r="BJ210" s="51"/>
      <c r="BP210" s="51"/>
      <c r="BQ210" s="51"/>
      <c r="BW210" s="51"/>
      <c r="BX210" s="51"/>
      <c r="CD210" s="51"/>
      <c r="CE210" s="51"/>
      <c r="CK210" s="51"/>
      <c r="CL210" s="51"/>
      <c r="CR210" s="51"/>
      <c r="CS210" s="51"/>
      <c r="CY210" s="51"/>
      <c r="CZ210" s="51"/>
      <c r="DF210" s="51"/>
      <c r="DG210" s="51"/>
      <c r="DM210" s="51"/>
      <c r="DN210" s="51"/>
      <c r="DT210" s="51"/>
      <c r="DU210" s="51"/>
      <c r="EA210" s="51"/>
      <c r="EB210" s="51"/>
      <c r="EH210" s="51"/>
      <c r="EI210" s="51"/>
      <c r="EO210" s="51"/>
      <c r="EP210" s="51"/>
      <c r="EV210" s="51"/>
      <c r="EW210" s="51"/>
      <c r="FC210" s="51"/>
      <c r="FD210" s="51"/>
      <c r="FJ210" s="51"/>
      <c r="FK210" s="51"/>
      <c r="FQ210" s="51"/>
      <c r="FR210" s="51"/>
      <c r="FX210" s="51"/>
      <c r="FY210" s="51"/>
      <c r="GE210" s="51"/>
      <c r="GF210" s="51"/>
      <c r="GL210" s="51"/>
      <c r="GM210" s="51"/>
      <c r="GS210" s="51"/>
      <c r="GT210" s="51"/>
      <c r="GZ210" s="51"/>
      <c r="HA210" s="51"/>
      <c r="HG210" s="51"/>
      <c r="HH210" s="51"/>
      <c r="HN210" s="51"/>
      <c r="HO210" s="51"/>
    </row>
    <row r="211" customFormat="false" ht="15" hidden="false" customHeight="false" outlineLevel="0" collapsed="false">
      <c r="A211" s="0" t="str">
        <f aca="false">'Schedule Engine'!B210</f>
        <v>IW14</v>
      </c>
      <c r="B211" s="0" t="str">
        <f aca="false">'Schedule Engine'!E210</f>
        <v>Trim Interior</v>
      </c>
      <c r="C211" s="0" t="str">
        <f aca="false">'Schedule Engine'!F210</f>
        <v>Matt Thorne</v>
      </c>
      <c r="D211" s="0" t="str">
        <f aca="false">'Schedule Engine'!G210</f>
        <v>Matt Thorne</v>
      </c>
      <c r="E211" s="34" t="n">
        <f aca="false">'Schedule Engine'!N210</f>
        <v>46346</v>
      </c>
      <c r="F211" s="34" t="n">
        <f aca="false">'Schedule Engine'!O210</f>
        <v>46373</v>
      </c>
      <c r="G211" s="0" t="n">
        <f aca="false">'Schedule Engine'!K210</f>
        <v>20</v>
      </c>
      <c r="H211" s="0" t="n">
        <f aca="false">'Schedule Engine'!P210</f>
        <v>0</v>
      </c>
      <c r="L211" s="51"/>
      <c r="M211" s="51"/>
      <c r="S211" s="51"/>
      <c r="T211" s="51"/>
      <c r="Z211" s="51"/>
      <c r="AA211" s="51"/>
      <c r="AG211" s="51"/>
      <c r="AH211" s="51"/>
      <c r="AN211" s="51"/>
      <c r="AO211" s="51"/>
      <c r="AU211" s="51"/>
      <c r="AV211" s="51"/>
      <c r="BB211" s="51"/>
      <c r="BC211" s="51"/>
      <c r="BI211" s="51"/>
      <c r="BJ211" s="51"/>
      <c r="BP211" s="51"/>
      <c r="BQ211" s="51"/>
      <c r="BW211" s="51"/>
      <c r="BX211" s="51"/>
      <c r="CD211" s="51"/>
      <c r="CE211" s="51"/>
      <c r="CK211" s="51"/>
      <c r="CL211" s="51"/>
      <c r="CR211" s="51"/>
      <c r="CS211" s="51"/>
      <c r="CY211" s="51"/>
      <c r="CZ211" s="51"/>
      <c r="DF211" s="51"/>
      <c r="DG211" s="51"/>
      <c r="DM211" s="51"/>
      <c r="DN211" s="51"/>
      <c r="DT211" s="51"/>
      <c r="DU211" s="51"/>
      <c r="EA211" s="51"/>
      <c r="EB211" s="51"/>
      <c r="EH211" s="51"/>
      <c r="EI211" s="51"/>
      <c r="EO211" s="51"/>
      <c r="EP211" s="51"/>
      <c r="EV211" s="51"/>
      <c r="EW211" s="51"/>
      <c r="FC211" s="51"/>
      <c r="FD211" s="51"/>
      <c r="FJ211" s="51"/>
      <c r="FK211" s="51"/>
      <c r="FQ211" s="51"/>
      <c r="FR211" s="51"/>
      <c r="FX211" s="51"/>
      <c r="FY211" s="51"/>
      <c r="GE211" s="51"/>
      <c r="GF211" s="51"/>
      <c r="GL211" s="51"/>
      <c r="GM211" s="51"/>
      <c r="GS211" s="51"/>
      <c r="GT211" s="51"/>
      <c r="GZ211" s="51"/>
      <c r="HA211" s="51"/>
      <c r="HG211" s="51"/>
      <c r="HH211" s="51"/>
      <c r="HN211" s="51"/>
      <c r="HO211" s="51"/>
    </row>
    <row r="212" customFormat="false" ht="15" hidden="false" customHeight="false" outlineLevel="0" collapsed="false">
      <c r="A212" s="0" t="str">
        <f aca="false">'Schedule Engine'!B211</f>
        <v>IW14</v>
      </c>
      <c r="B212" s="0" t="str">
        <f aca="false">'Schedule Engine'!E211</f>
        <v>Trim Exterior</v>
      </c>
      <c r="C212" s="0" t="str">
        <f aca="false">'Schedule Engine'!F211</f>
        <v>Matt Thorne</v>
      </c>
      <c r="D212" s="0" t="str">
        <f aca="false">'Schedule Engine'!G211</f>
        <v>Matt Thorne</v>
      </c>
      <c r="E212" s="34" t="n">
        <f aca="false">'Schedule Engine'!N211</f>
        <v>46331</v>
      </c>
      <c r="F212" s="34" t="n">
        <f aca="false">'Schedule Engine'!O211</f>
        <v>46332</v>
      </c>
      <c r="G212" s="0" t="n">
        <f aca="false">'Schedule Engine'!K211</f>
        <v>2</v>
      </c>
      <c r="H212" s="0" t="n">
        <f aca="false">'Schedule Engine'!P211</f>
        <v>0</v>
      </c>
      <c r="L212" s="51"/>
      <c r="M212" s="51"/>
      <c r="S212" s="51"/>
      <c r="T212" s="51"/>
      <c r="Z212" s="51"/>
      <c r="AA212" s="51"/>
      <c r="AG212" s="51"/>
      <c r="AH212" s="51"/>
      <c r="AN212" s="51"/>
      <c r="AO212" s="51"/>
      <c r="AU212" s="51"/>
      <c r="AV212" s="51"/>
      <c r="BB212" s="51"/>
      <c r="BC212" s="51"/>
      <c r="BI212" s="51"/>
      <c r="BJ212" s="51"/>
      <c r="BP212" s="51"/>
      <c r="BQ212" s="51"/>
      <c r="BW212" s="51"/>
      <c r="BX212" s="51"/>
      <c r="CD212" s="51"/>
      <c r="CE212" s="51"/>
      <c r="CK212" s="51"/>
      <c r="CL212" s="51"/>
      <c r="CR212" s="51"/>
      <c r="CS212" s="51"/>
      <c r="CY212" s="51"/>
      <c r="CZ212" s="51"/>
      <c r="DF212" s="51"/>
      <c r="DG212" s="51"/>
      <c r="DM212" s="51"/>
      <c r="DN212" s="51"/>
      <c r="DT212" s="51"/>
      <c r="DU212" s="51"/>
      <c r="EA212" s="51"/>
      <c r="EB212" s="51"/>
      <c r="EH212" s="51"/>
      <c r="EI212" s="51"/>
      <c r="EO212" s="51"/>
      <c r="EP212" s="51"/>
      <c r="EV212" s="51"/>
      <c r="EW212" s="51"/>
      <c r="FC212" s="51"/>
      <c r="FD212" s="51"/>
      <c r="FJ212" s="51"/>
      <c r="FK212" s="51"/>
      <c r="FQ212" s="51"/>
      <c r="FR212" s="51"/>
      <c r="FX212" s="51"/>
      <c r="FY212" s="51"/>
      <c r="GE212" s="51"/>
      <c r="GF212" s="51"/>
      <c r="GL212" s="51"/>
      <c r="GM212" s="51"/>
      <c r="GS212" s="51"/>
      <c r="GT212" s="51"/>
      <c r="GZ212" s="51"/>
      <c r="HA212" s="51"/>
      <c r="HG212" s="51"/>
      <c r="HH212" s="51"/>
      <c r="HN212" s="51"/>
      <c r="HO212" s="51"/>
    </row>
    <row r="213" customFormat="false" ht="15" hidden="false" customHeight="false" outlineLevel="0" collapsed="false">
      <c r="A213" s="0" t="str">
        <f aca="false">'Schedule Engine'!B212</f>
        <v>IW14</v>
      </c>
      <c r="B213" s="0" t="str">
        <f aca="false">'Schedule Engine'!E212</f>
        <v>Cabinets</v>
      </c>
      <c r="C213" s="0" t="str">
        <f aca="false">'Schedule Engine'!F212</f>
        <v>Whittmer</v>
      </c>
      <c r="D213" s="0" t="n">
        <f aca="false">'Schedule Engine'!G212</f>
        <v>0</v>
      </c>
      <c r="E213" s="34" t="n">
        <f aca="false">'Schedule Engine'!N212</f>
        <v>46346</v>
      </c>
      <c r="F213" s="34" t="n">
        <f aca="false">'Schedule Engine'!O212</f>
        <v>46350</v>
      </c>
      <c r="G213" s="0" t="n">
        <f aca="false">'Schedule Engine'!K212</f>
        <v>3</v>
      </c>
      <c r="H213" s="0" t="n">
        <f aca="false">'Schedule Engine'!P212</f>
        <v>0</v>
      </c>
      <c r="L213" s="51"/>
      <c r="M213" s="51"/>
      <c r="S213" s="51"/>
      <c r="T213" s="51"/>
      <c r="Z213" s="51"/>
      <c r="AA213" s="51"/>
      <c r="AG213" s="51"/>
      <c r="AH213" s="51"/>
      <c r="AN213" s="51"/>
      <c r="AO213" s="51"/>
      <c r="AU213" s="51"/>
      <c r="AV213" s="51"/>
      <c r="BB213" s="51"/>
      <c r="BC213" s="51"/>
      <c r="BI213" s="51"/>
      <c r="BJ213" s="51"/>
      <c r="BP213" s="51"/>
      <c r="BQ213" s="51"/>
      <c r="BW213" s="51"/>
      <c r="BX213" s="51"/>
      <c r="CD213" s="51"/>
      <c r="CE213" s="51"/>
      <c r="CK213" s="51"/>
      <c r="CL213" s="51"/>
      <c r="CR213" s="51"/>
      <c r="CS213" s="51"/>
      <c r="CY213" s="51"/>
      <c r="CZ213" s="51"/>
      <c r="DF213" s="51"/>
      <c r="DG213" s="51"/>
      <c r="DM213" s="51"/>
      <c r="DN213" s="51"/>
      <c r="DT213" s="51"/>
      <c r="DU213" s="51"/>
      <c r="EA213" s="51"/>
      <c r="EB213" s="51"/>
      <c r="EH213" s="51"/>
      <c r="EI213" s="51"/>
      <c r="EO213" s="51"/>
      <c r="EP213" s="51"/>
      <c r="EV213" s="51"/>
      <c r="EW213" s="51"/>
      <c r="FC213" s="51"/>
      <c r="FD213" s="51"/>
      <c r="FJ213" s="51"/>
      <c r="FK213" s="51"/>
      <c r="FQ213" s="51"/>
      <c r="FR213" s="51"/>
      <c r="FX213" s="51"/>
      <c r="FY213" s="51"/>
      <c r="GE213" s="51"/>
      <c r="GF213" s="51"/>
      <c r="GL213" s="51"/>
      <c r="GM213" s="51"/>
      <c r="GS213" s="51"/>
      <c r="GT213" s="51"/>
      <c r="GZ213" s="51"/>
      <c r="HA213" s="51"/>
      <c r="HG213" s="51"/>
      <c r="HH213" s="51"/>
      <c r="HN213" s="51"/>
      <c r="HO213" s="51"/>
    </row>
    <row r="214" customFormat="false" ht="15" hidden="false" customHeight="false" outlineLevel="0" collapsed="false">
      <c r="A214" s="0" t="str">
        <f aca="false">'Schedule Engine'!B213</f>
        <v>IW14</v>
      </c>
      <c r="B214" s="0" t="str">
        <f aca="false">'Schedule Engine'!E213</f>
        <v>Countertops</v>
      </c>
      <c r="C214" s="0" t="str">
        <f aca="false">'Schedule Engine'!F213</f>
        <v>Tate Granit</v>
      </c>
      <c r="D214" s="0" t="n">
        <f aca="false">'Schedule Engine'!G213</f>
        <v>0</v>
      </c>
      <c r="E214" s="34" t="n">
        <f aca="false">'Schedule Engine'!N213</f>
        <v>46351</v>
      </c>
      <c r="F214" s="34" t="n">
        <f aca="false">'Schedule Engine'!O213</f>
        <v>46352</v>
      </c>
      <c r="G214" s="0" t="n">
        <f aca="false">'Schedule Engine'!K213</f>
        <v>2</v>
      </c>
      <c r="H214" s="0" t="n">
        <f aca="false">'Schedule Engine'!P213</f>
        <v>0</v>
      </c>
      <c r="L214" s="51"/>
      <c r="M214" s="51"/>
      <c r="S214" s="51"/>
      <c r="T214" s="51"/>
      <c r="Z214" s="51"/>
      <c r="AA214" s="51"/>
      <c r="AG214" s="51"/>
      <c r="AH214" s="51"/>
      <c r="AN214" s="51"/>
      <c r="AO214" s="51"/>
      <c r="AU214" s="51"/>
      <c r="AV214" s="51"/>
      <c r="BB214" s="51"/>
      <c r="BC214" s="51"/>
      <c r="BI214" s="51"/>
      <c r="BJ214" s="51"/>
      <c r="BP214" s="51"/>
      <c r="BQ214" s="51"/>
      <c r="BW214" s="51"/>
      <c r="BX214" s="51"/>
      <c r="CD214" s="51"/>
      <c r="CE214" s="51"/>
      <c r="CK214" s="51"/>
      <c r="CL214" s="51"/>
      <c r="CR214" s="51"/>
      <c r="CS214" s="51"/>
      <c r="CY214" s="51"/>
      <c r="CZ214" s="51"/>
      <c r="DF214" s="51"/>
      <c r="DG214" s="51"/>
      <c r="DM214" s="51"/>
      <c r="DN214" s="51"/>
      <c r="DT214" s="51"/>
      <c r="DU214" s="51"/>
      <c r="EA214" s="51"/>
      <c r="EB214" s="51"/>
      <c r="EH214" s="51"/>
      <c r="EI214" s="51"/>
      <c r="EO214" s="51"/>
      <c r="EP214" s="51"/>
      <c r="EV214" s="51"/>
      <c r="EW214" s="51"/>
      <c r="FC214" s="51"/>
      <c r="FD214" s="51"/>
      <c r="FJ214" s="51"/>
      <c r="FK214" s="51"/>
      <c r="FQ214" s="51"/>
      <c r="FR214" s="51"/>
      <c r="FX214" s="51"/>
      <c r="FY214" s="51"/>
      <c r="GE214" s="51"/>
      <c r="GF214" s="51"/>
      <c r="GL214" s="51"/>
      <c r="GM214" s="51"/>
      <c r="GS214" s="51"/>
      <c r="GT214" s="51"/>
      <c r="GZ214" s="51"/>
      <c r="HA214" s="51"/>
      <c r="HG214" s="51"/>
      <c r="HH214" s="51"/>
      <c r="HN214" s="51"/>
      <c r="HO214" s="51"/>
    </row>
    <row r="215" customFormat="false" ht="15" hidden="false" customHeight="false" outlineLevel="0" collapsed="false">
      <c r="A215" s="0" t="str">
        <f aca="false">'Schedule Engine'!B214</f>
        <v>IW14</v>
      </c>
      <c r="B215" s="0" t="str">
        <f aca="false">'Schedule Engine'!E214</f>
        <v>Painting Main</v>
      </c>
      <c r="C215" s="0" t="str">
        <f aca="false">'Schedule Engine'!F214</f>
        <v>L&amp;L Painting</v>
      </c>
      <c r="D215" s="0" t="n">
        <f aca="false">'Schedule Engine'!G214</f>
        <v>0</v>
      </c>
      <c r="E215" s="34" t="n">
        <f aca="false">'Schedule Engine'!N214</f>
        <v>46353</v>
      </c>
      <c r="F215" s="34" t="n">
        <f aca="false">'Schedule Engine'!O214</f>
        <v>46366</v>
      </c>
      <c r="G215" s="0" t="n">
        <f aca="false">'Schedule Engine'!K214</f>
        <v>10</v>
      </c>
      <c r="H215" s="0" t="n">
        <f aca="false">'Schedule Engine'!P214</f>
        <v>0</v>
      </c>
      <c r="L215" s="51"/>
      <c r="M215" s="51"/>
      <c r="S215" s="51"/>
      <c r="T215" s="51"/>
      <c r="Z215" s="51"/>
      <c r="AA215" s="51"/>
      <c r="AG215" s="51"/>
      <c r="AH215" s="51"/>
      <c r="AN215" s="51"/>
      <c r="AO215" s="51"/>
      <c r="AU215" s="51"/>
      <c r="AV215" s="51"/>
      <c r="BB215" s="51"/>
      <c r="BC215" s="51"/>
      <c r="BI215" s="51"/>
      <c r="BJ215" s="51"/>
      <c r="BP215" s="51"/>
      <c r="BQ215" s="51"/>
      <c r="BW215" s="51"/>
      <c r="BX215" s="51"/>
      <c r="CD215" s="51"/>
      <c r="CE215" s="51"/>
      <c r="CK215" s="51"/>
      <c r="CL215" s="51"/>
      <c r="CR215" s="51"/>
      <c r="CS215" s="51"/>
      <c r="CY215" s="51"/>
      <c r="CZ215" s="51"/>
      <c r="DF215" s="51"/>
      <c r="DG215" s="51"/>
      <c r="DM215" s="51"/>
      <c r="DN215" s="51"/>
      <c r="DT215" s="51"/>
      <c r="DU215" s="51"/>
      <c r="EA215" s="51"/>
      <c r="EB215" s="51"/>
      <c r="EH215" s="51"/>
      <c r="EI215" s="51"/>
      <c r="EO215" s="51"/>
      <c r="EP215" s="51"/>
      <c r="EV215" s="51"/>
      <c r="EW215" s="51"/>
      <c r="FC215" s="51"/>
      <c r="FD215" s="51"/>
      <c r="FJ215" s="51"/>
      <c r="FK215" s="51"/>
      <c r="FQ215" s="51"/>
      <c r="FR215" s="51"/>
      <c r="FX215" s="51"/>
      <c r="FY215" s="51"/>
      <c r="GE215" s="51"/>
      <c r="GF215" s="51"/>
      <c r="GL215" s="51"/>
      <c r="GM215" s="51"/>
      <c r="GS215" s="51"/>
      <c r="GT215" s="51"/>
      <c r="GZ215" s="51"/>
      <c r="HA215" s="51"/>
      <c r="HG215" s="51"/>
      <c r="HH215" s="51"/>
      <c r="HN215" s="51"/>
      <c r="HO215" s="51"/>
    </row>
    <row r="216" customFormat="false" ht="15" hidden="false" customHeight="false" outlineLevel="0" collapsed="false">
      <c r="A216" s="0" t="str">
        <f aca="false">'Schedule Engine'!B215</f>
        <v>IW14</v>
      </c>
      <c r="B216" s="0" t="str">
        <f aca="false">'Schedule Engine'!E215</f>
        <v>Appliances</v>
      </c>
      <c r="C216" s="0" t="str">
        <f aca="false">'Schedule Engine'!F215</f>
        <v>Dave Kaler</v>
      </c>
      <c r="D216" s="0" t="n">
        <f aca="false">'Schedule Engine'!G215</f>
        <v>0</v>
      </c>
      <c r="E216" s="34" t="n">
        <f aca="false">'Schedule Engine'!N215</f>
        <v>46353</v>
      </c>
      <c r="F216" s="34" t="n">
        <f aca="false">'Schedule Engine'!O215</f>
        <v>46356</v>
      </c>
      <c r="G216" s="0" t="n">
        <f aca="false">'Schedule Engine'!K215</f>
        <v>2</v>
      </c>
      <c r="H216" s="0" t="n">
        <f aca="false">'Schedule Engine'!P215</f>
        <v>0</v>
      </c>
      <c r="L216" s="51"/>
      <c r="M216" s="51"/>
      <c r="S216" s="51"/>
      <c r="T216" s="51"/>
      <c r="Z216" s="51"/>
      <c r="AA216" s="51"/>
      <c r="AG216" s="51"/>
      <c r="AH216" s="51"/>
      <c r="AN216" s="51"/>
      <c r="AO216" s="51"/>
      <c r="AU216" s="51"/>
      <c r="AV216" s="51"/>
      <c r="BB216" s="51"/>
      <c r="BC216" s="51"/>
      <c r="BI216" s="51"/>
      <c r="BJ216" s="51"/>
      <c r="BP216" s="51"/>
      <c r="BQ216" s="51"/>
      <c r="BW216" s="51"/>
      <c r="BX216" s="51"/>
      <c r="CD216" s="51"/>
      <c r="CE216" s="51"/>
      <c r="CK216" s="51"/>
      <c r="CL216" s="51"/>
      <c r="CR216" s="51"/>
      <c r="CS216" s="51"/>
      <c r="CY216" s="51"/>
      <c r="CZ216" s="51"/>
      <c r="DF216" s="51"/>
      <c r="DG216" s="51"/>
      <c r="DM216" s="51"/>
      <c r="DN216" s="51"/>
      <c r="DT216" s="51"/>
      <c r="DU216" s="51"/>
      <c r="EA216" s="51"/>
      <c r="EB216" s="51"/>
      <c r="EH216" s="51"/>
      <c r="EI216" s="51"/>
      <c r="EO216" s="51"/>
      <c r="EP216" s="51"/>
      <c r="EV216" s="51"/>
      <c r="EW216" s="51"/>
      <c r="FC216" s="51"/>
      <c r="FD216" s="51"/>
      <c r="FJ216" s="51"/>
      <c r="FK216" s="51"/>
      <c r="FQ216" s="51"/>
      <c r="FR216" s="51"/>
      <c r="FX216" s="51"/>
      <c r="FY216" s="51"/>
      <c r="GE216" s="51"/>
      <c r="GF216" s="51"/>
      <c r="GL216" s="51"/>
      <c r="GM216" s="51"/>
      <c r="GS216" s="51"/>
      <c r="GT216" s="51"/>
      <c r="GZ216" s="51"/>
      <c r="HA216" s="51"/>
      <c r="HG216" s="51"/>
      <c r="HH216" s="51"/>
      <c r="HN216" s="51"/>
      <c r="HO216" s="51"/>
    </row>
    <row r="217" customFormat="false" ht="15" hidden="false" customHeight="false" outlineLevel="0" collapsed="false">
      <c r="A217" s="0" t="str">
        <f aca="false">'Schedule Engine'!B216</f>
        <v>IW14</v>
      </c>
      <c r="B217" s="0" t="str">
        <f aca="false">'Schedule Engine'!E216</f>
        <v>HVAC Finish</v>
      </c>
      <c r="C217" s="0" t="str">
        <f aca="false">'Schedule Engine'!F216</f>
        <v>Adco</v>
      </c>
      <c r="D217" s="0" t="n">
        <f aca="false">'Schedule Engine'!G216</f>
        <v>0</v>
      </c>
      <c r="E217" s="34" t="n">
        <f aca="false">'Schedule Engine'!N216</f>
        <v>46367</v>
      </c>
      <c r="F217" s="34" t="n">
        <f aca="false">'Schedule Engine'!O216</f>
        <v>46370</v>
      </c>
      <c r="G217" s="0" t="n">
        <f aca="false">'Schedule Engine'!K216</f>
        <v>2</v>
      </c>
      <c r="H217" s="0" t="n">
        <f aca="false">'Schedule Engine'!P216</f>
        <v>0</v>
      </c>
      <c r="L217" s="51"/>
      <c r="M217" s="51"/>
      <c r="S217" s="51"/>
      <c r="T217" s="51"/>
      <c r="Z217" s="51"/>
      <c r="AA217" s="51"/>
      <c r="AG217" s="51"/>
      <c r="AH217" s="51"/>
      <c r="AN217" s="51"/>
      <c r="AO217" s="51"/>
      <c r="AU217" s="51"/>
      <c r="AV217" s="51"/>
      <c r="BB217" s="51"/>
      <c r="BC217" s="51"/>
      <c r="BI217" s="51"/>
      <c r="BJ217" s="51"/>
      <c r="BP217" s="51"/>
      <c r="BQ217" s="51"/>
      <c r="BW217" s="51"/>
      <c r="BX217" s="51"/>
      <c r="CD217" s="51"/>
      <c r="CE217" s="51"/>
      <c r="CK217" s="51"/>
      <c r="CL217" s="51"/>
      <c r="CR217" s="51"/>
      <c r="CS217" s="51"/>
      <c r="CY217" s="51"/>
      <c r="CZ217" s="51"/>
      <c r="DF217" s="51"/>
      <c r="DG217" s="51"/>
      <c r="DM217" s="51"/>
      <c r="DN217" s="51"/>
      <c r="DT217" s="51"/>
      <c r="DU217" s="51"/>
      <c r="EA217" s="51"/>
      <c r="EB217" s="51"/>
      <c r="EH217" s="51"/>
      <c r="EI217" s="51"/>
      <c r="EO217" s="51"/>
      <c r="EP217" s="51"/>
      <c r="EV217" s="51"/>
      <c r="EW217" s="51"/>
      <c r="FC217" s="51"/>
      <c r="FD217" s="51"/>
      <c r="FJ217" s="51"/>
      <c r="FK217" s="51"/>
      <c r="FQ217" s="51"/>
      <c r="FR217" s="51"/>
      <c r="FX217" s="51"/>
      <c r="FY217" s="51"/>
      <c r="GE217" s="51"/>
      <c r="GF217" s="51"/>
      <c r="GL217" s="51"/>
      <c r="GM217" s="51"/>
      <c r="GS217" s="51"/>
      <c r="GT217" s="51"/>
      <c r="GZ217" s="51"/>
      <c r="HA217" s="51"/>
      <c r="HG217" s="51"/>
      <c r="HH217" s="51"/>
      <c r="HN217" s="51"/>
      <c r="HO217" s="51"/>
    </row>
    <row r="218" customFormat="false" ht="15" hidden="false" customHeight="false" outlineLevel="0" collapsed="false">
      <c r="A218" s="0" t="str">
        <f aca="false">'Schedule Engine'!B217</f>
        <v>IW14</v>
      </c>
      <c r="B218" s="0" t="str">
        <f aca="false">'Schedule Engine'!E217</f>
        <v>Plumbing Finish</v>
      </c>
      <c r="C218" s="0" t="str">
        <f aca="false">'Schedule Engine'!F217</f>
        <v>Hays</v>
      </c>
      <c r="D218" s="0" t="str">
        <f aca="false">'Schedule Engine'!G217</f>
        <v>Hays</v>
      </c>
      <c r="E218" s="34" t="n">
        <f aca="false">'Schedule Engine'!N217</f>
        <v>46353</v>
      </c>
      <c r="F218" s="34" t="n">
        <f aca="false">'Schedule Engine'!O217</f>
        <v>46356</v>
      </c>
      <c r="G218" s="0" t="n">
        <f aca="false">'Schedule Engine'!K217</f>
        <v>2</v>
      </c>
      <c r="H218" s="0" t="n">
        <f aca="false">'Schedule Engine'!P217</f>
        <v>0</v>
      </c>
      <c r="L218" s="51"/>
      <c r="M218" s="51"/>
      <c r="S218" s="51"/>
      <c r="T218" s="51"/>
      <c r="Z218" s="51"/>
      <c r="AA218" s="51"/>
      <c r="AG218" s="51"/>
      <c r="AH218" s="51"/>
      <c r="AN218" s="51"/>
      <c r="AO218" s="51"/>
      <c r="AU218" s="51"/>
      <c r="AV218" s="51"/>
      <c r="BB218" s="51"/>
      <c r="BC218" s="51"/>
      <c r="BI218" s="51"/>
      <c r="BJ218" s="51"/>
      <c r="BP218" s="51"/>
      <c r="BQ218" s="51"/>
      <c r="BW218" s="51"/>
      <c r="BX218" s="51"/>
      <c r="CD218" s="51"/>
      <c r="CE218" s="51"/>
      <c r="CK218" s="51"/>
      <c r="CL218" s="51"/>
      <c r="CR218" s="51"/>
      <c r="CS218" s="51"/>
      <c r="CY218" s="51"/>
      <c r="CZ218" s="51"/>
      <c r="DF218" s="51"/>
      <c r="DG218" s="51"/>
      <c r="DM218" s="51"/>
      <c r="DN218" s="51"/>
      <c r="DT218" s="51"/>
      <c r="DU218" s="51"/>
      <c r="EA218" s="51"/>
      <c r="EB218" s="51"/>
      <c r="EH218" s="51"/>
      <c r="EI218" s="51"/>
      <c r="EO218" s="51"/>
      <c r="EP218" s="51"/>
      <c r="EV218" s="51"/>
      <c r="EW218" s="51"/>
      <c r="FC218" s="51"/>
      <c r="FD218" s="51"/>
      <c r="FJ218" s="51"/>
      <c r="FK218" s="51"/>
      <c r="FQ218" s="51"/>
      <c r="FR218" s="51"/>
      <c r="FX218" s="51"/>
      <c r="FY218" s="51"/>
      <c r="GE218" s="51"/>
      <c r="GF218" s="51"/>
      <c r="GL218" s="51"/>
      <c r="GM218" s="51"/>
      <c r="GS218" s="51"/>
      <c r="GT218" s="51"/>
      <c r="GZ218" s="51"/>
      <c r="HA218" s="51"/>
      <c r="HG218" s="51"/>
      <c r="HH218" s="51"/>
      <c r="HN218" s="51"/>
      <c r="HO218" s="51"/>
    </row>
    <row r="219" customFormat="false" ht="15" hidden="false" customHeight="false" outlineLevel="0" collapsed="false">
      <c r="A219" s="0" t="str">
        <f aca="false">'Schedule Engine'!B218</f>
        <v>IW14</v>
      </c>
      <c r="B219" s="0" t="str">
        <f aca="false">'Schedule Engine'!E218</f>
        <v>Electrical Finish</v>
      </c>
      <c r="C219" s="0" t="str">
        <f aca="false">'Schedule Engine'!F218</f>
        <v>Dave Kaler</v>
      </c>
      <c r="D219" s="0" t="n">
        <f aca="false">'Schedule Engine'!G218</f>
        <v>0</v>
      </c>
      <c r="E219" s="34" t="n">
        <f aca="false">'Schedule Engine'!N218</f>
        <v>46367</v>
      </c>
      <c r="F219" s="34" t="n">
        <f aca="false">'Schedule Engine'!O218</f>
        <v>46372</v>
      </c>
      <c r="G219" s="0" t="n">
        <f aca="false">'Schedule Engine'!K218</f>
        <v>4</v>
      </c>
      <c r="H219" s="0" t="n">
        <f aca="false">'Schedule Engine'!P218</f>
        <v>0</v>
      </c>
      <c r="L219" s="51"/>
      <c r="M219" s="51"/>
      <c r="S219" s="51"/>
      <c r="T219" s="51"/>
      <c r="Z219" s="51"/>
      <c r="AA219" s="51"/>
      <c r="AG219" s="51"/>
      <c r="AH219" s="51"/>
      <c r="AN219" s="51"/>
      <c r="AO219" s="51"/>
      <c r="AU219" s="51"/>
      <c r="AV219" s="51"/>
      <c r="BB219" s="51"/>
      <c r="BC219" s="51"/>
      <c r="BI219" s="51"/>
      <c r="BJ219" s="51"/>
      <c r="BP219" s="51"/>
      <c r="BQ219" s="51"/>
      <c r="BW219" s="51"/>
      <c r="BX219" s="51"/>
      <c r="CD219" s="51"/>
      <c r="CE219" s="51"/>
      <c r="CK219" s="51"/>
      <c r="CL219" s="51"/>
      <c r="CR219" s="51"/>
      <c r="CS219" s="51"/>
      <c r="CY219" s="51"/>
      <c r="CZ219" s="51"/>
      <c r="DF219" s="51"/>
      <c r="DG219" s="51"/>
      <c r="DM219" s="51"/>
      <c r="DN219" s="51"/>
      <c r="DT219" s="51"/>
      <c r="DU219" s="51"/>
      <c r="EA219" s="51"/>
      <c r="EB219" s="51"/>
      <c r="EH219" s="51"/>
      <c r="EI219" s="51"/>
      <c r="EO219" s="51"/>
      <c r="EP219" s="51"/>
      <c r="EV219" s="51"/>
      <c r="EW219" s="51"/>
      <c r="FC219" s="51"/>
      <c r="FD219" s="51"/>
      <c r="FJ219" s="51"/>
      <c r="FK219" s="51"/>
      <c r="FQ219" s="51"/>
      <c r="FR219" s="51"/>
      <c r="FX219" s="51"/>
      <c r="FY219" s="51"/>
      <c r="GE219" s="51"/>
      <c r="GF219" s="51"/>
      <c r="GL219" s="51"/>
      <c r="GM219" s="51"/>
      <c r="GS219" s="51"/>
      <c r="GT219" s="51"/>
      <c r="GZ219" s="51"/>
      <c r="HA219" s="51"/>
      <c r="HG219" s="51"/>
      <c r="HH219" s="51"/>
      <c r="HN219" s="51"/>
      <c r="HO219" s="51"/>
    </row>
    <row r="220" customFormat="false" ht="15" hidden="false" customHeight="false" outlineLevel="0" collapsed="false">
      <c r="A220" s="0" t="str">
        <f aca="false">'Schedule Engine'!B219</f>
        <v>IW14</v>
      </c>
      <c r="B220" s="0" t="str">
        <f aca="false">'Schedule Engine'!E219</f>
        <v>Insulation Ceiling</v>
      </c>
      <c r="C220" s="0" t="str">
        <f aca="false">'Schedule Engine'!F219</f>
        <v>Tyler Champion</v>
      </c>
      <c r="D220" s="0" t="n">
        <f aca="false">'Schedule Engine'!G219</f>
        <v>0</v>
      </c>
      <c r="E220" s="34" t="n">
        <f aca="false">'Schedule Engine'!N219</f>
        <v>46373</v>
      </c>
      <c r="F220" s="34" t="n">
        <f aca="false">'Schedule Engine'!O219</f>
        <v>46374</v>
      </c>
      <c r="G220" s="0" t="n">
        <f aca="false">'Schedule Engine'!K219</f>
        <v>2</v>
      </c>
      <c r="H220" s="0" t="n">
        <f aca="false">'Schedule Engine'!P219</f>
        <v>0</v>
      </c>
      <c r="L220" s="51"/>
      <c r="M220" s="51"/>
      <c r="S220" s="51"/>
      <c r="T220" s="51"/>
      <c r="Z220" s="51"/>
      <c r="AA220" s="51"/>
      <c r="AG220" s="51"/>
      <c r="AH220" s="51"/>
      <c r="AN220" s="51"/>
      <c r="AO220" s="51"/>
      <c r="AU220" s="51"/>
      <c r="AV220" s="51"/>
      <c r="BB220" s="51"/>
      <c r="BC220" s="51"/>
      <c r="BI220" s="51"/>
      <c r="BJ220" s="51"/>
      <c r="BP220" s="51"/>
      <c r="BQ220" s="51"/>
      <c r="BW220" s="51"/>
      <c r="BX220" s="51"/>
      <c r="CD220" s="51"/>
      <c r="CE220" s="51"/>
      <c r="CK220" s="51"/>
      <c r="CL220" s="51"/>
      <c r="CR220" s="51"/>
      <c r="CS220" s="51"/>
      <c r="CY220" s="51"/>
      <c r="CZ220" s="51"/>
      <c r="DF220" s="51"/>
      <c r="DG220" s="51"/>
      <c r="DM220" s="51"/>
      <c r="DN220" s="51"/>
      <c r="DT220" s="51"/>
      <c r="DU220" s="51"/>
      <c r="EA220" s="51"/>
      <c r="EB220" s="51"/>
      <c r="EH220" s="51"/>
      <c r="EI220" s="51"/>
      <c r="EO220" s="51"/>
      <c r="EP220" s="51"/>
      <c r="EV220" s="51"/>
      <c r="EW220" s="51"/>
      <c r="FC220" s="51"/>
      <c r="FD220" s="51"/>
      <c r="FJ220" s="51"/>
      <c r="FK220" s="51"/>
      <c r="FQ220" s="51"/>
      <c r="FR220" s="51"/>
      <c r="FX220" s="51"/>
      <c r="FY220" s="51"/>
      <c r="GE220" s="51"/>
      <c r="GF220" s="51"/>
      <c r="GL220" s="51"/>
      <c r="GM220" s="51"/>
      <c r="GS220" s="51"/>
      <c r="GT220" s="51"/>
      <c r="GZ220" s="51"/>
      <c r="HA220" s="51"/>
      <c r="HG220" s="51"/>
      <c r="HH220" s="51"/>
      <c r="HN220" s="51"/>
      <c r="HO220" s="51"/>
    </row>
    <row r="221" customFormat="false" ht="15" hidden="false" customHeight="false" outlineLevel="0" collapsed="false">
      <c r="A221" s="0" t="str">
        <f aca="false">'Schedule Engine'!B220</f>
        <v>IW14</v>
      </c>
      <c r="B221" s="0" t="str">
        <f aca="false">'Schedule Engine'!E220</f>
        <v>Painting Finish</v>
      </c>
      <c r="C221" s="0" t="str">
        <f aca="false">'Schedule Engine'!F220</f>
        <v>L&amp;L Painting</v>
      </c>
      <c r="D221" s="0" t="n">
        <f aca="false">'Schedule Engine'!G220</f>
        <v>0</v>
      </c>
      <c r="E221" s="34" t="n">
        <f aca="false">'Schedule Engine'!N220</f>
        <v>46373</v>
      </c>
      <c r="F221" s="34" t="n">
        <f aca="false">'Schedule Engine'!O220</f>
        <v>46379</v>
      </c>
      <c r="G221" s="0" t="n">
        <f aca="false">'Schedule Engine'!K220</f>
        <v>5</v>
      </c>
      <c r="H221" s="0" t="n">
        <f aca="false">'Schedule Engine'!P220</f>
        <v>0</v>
      </c>
      <c r="L221" s="51"/>
      <c r="M221" s="51"/>
      <c r="S221" s="51"/>
      <c r="T221" s="51"/>
      <c r="Z221" s="51"/>
      <c r="AA221" s="51"/>
      <c r="AG221" s="51"/>
      <c r="AH221" s="51"/>
      <c r="AN221" s="51"/>
      <c r="AO221" s="51"/>
      <c r="AU221" s="51"/>
      <c r="AV221" s="51"/>
      <c r="BB221" s="51"/>
      <c r="BC221" s="51"/>
      <c r="BI221" s="51"/>
      <c r="BJ221" s="51"/>
      <c r="BP221" s="51"/>
      <c r="BQ221" s="51"/>
      <c r="BW221" s="51"/>
      <c r="BX221" s="51"/>
      <c r="CD221" s="51"/>
      <c r="CE221" s="51"/>
      <c r="CK221" s="51"/>
      <c r="CL221" s="51"/>
      <c r="CR221" s="51"/>
      <c r="CS221" s="51"/>
      <c r="CY221" s="51"/>
      <c r="CZ221" s="51"/>
      <c r="DF221" s="51"/>
      <c r="DG221" s="51"/>
      <c r="DM221" s="51"/>
      <c r="DN221" s="51"/>
      <c r="DT221" s="51"/>
      <c r="DU221" s="51"/>
      <c r="EA221" s="51"/>
      <c r="EB221" s="51"/>
      <c r="EH221" s="51"/>
      <c r="EI221" s="51"/>
      <c r="EO221" s="51"/>
      <c r="EP221" s="51"/>
      <c r="EV221" s="51"/>
      <c r="EW221" s="51"/>
      <c r="FC221" s="51"/>
      <c r="FD221" s="51"/>
      <c r="FJ221" s="51"/>
      <c r="FK221" s="51"/>
      <c r="FQ221" s="51"/>
      <c r="FR221" s="51"/>
      <c r="FX221" s="51"/>
      <c r="FY221" s="51"/>
      <c r="GE221" s="51"/>
      <c r="GF221" s="51"/>
      <c r="GL221" s="51"/>
      <c r="GM221" s="51"/>
      <c r="GS221" s="51"/>
      <c r="GT221" s="51"/>
      <c r="GZ221" s="51"/>
      <c r="HA221" s="51"/>
      <c r="HG221" s="51"/>
      <c r="HH221" s="51"/>
      <c r="HN221" s="51"/>
      <c r="HO221" s="51"/>
    </row>
    <row r="222" customFormat="false" ht="15" hidden="false" customHeight="false" outlineLevel="0" collapsed="false">
      <c r="A222" s="0" t="str">
        <f aca="false">'Schedule Engine'!B221</f>
        <v>IW14</v>
      </c>
      <c r="B222" s="0" t="str">
        <f aca="false">'Schedule Engine'!E221</f>
        <v>Cleaning</v>
      </c>
      <c r="C222" s="0" t="str">
        <f aca="false">'Schedule Engine'!F221</f>
        <v>Angies Cleaning</v>
      </c>
      <c r="D222" s="0" t="n">
        <f aca="false">'Schedule Engine'!G221</f>
        <v>0</v>
      </c>
      <c r="E222" s="34" t="n">
        <f aca="false">'Schedule Engine'!N221</f>
        <v>46380</v>
      </c>
      <c r="F222" s="34" t="n">
        <f aca="false">'Schedule Engine'!O221</f>
        <v>46384</v>
      </c>
      <c r="G222" s="0" t="n">
        <f aca="false">'Schedule Engine'!K221</f>
        <v>3</v>
      </c>
      <c r="H222" s="0" t="n">
        <f aca="false">'Schedule Engine'!P221</f>
        <v>0</v>
      </c>
      <c r="L222" s="51"/>
      <c r="M222" s="51"/>
      <c r="S222" s="51"/>
      <c r="T222" s="51"/>
      <c r="Z222" s="51"/>
      <c r="AA222" s="51"/>
      <c r="AG222" s="51"/>
      <c r="AH222" s="51"/>
      <c r="AN222" s="51"/>
      <c r="AO222" s="51"/>
      <c r="AU222" s="51"/>
      <c r="AV222" s="51"/>
      <c r="BB222" s="51"/>
      <c r="BC222" s="51"/>
      <c r="BI222" s="51"/>
      <c r="BJ222" s="51"/>
      <c r="BP222" s="51"/>
      <c r="BQ222" s="51"/>
      <c r="BW222" s="51"/>
      <c r="BX222" s="51"/>
      <c r="CD222" s="51"/>
      <c r="CE222" s="51"/>
      <c r="CK222" s="51"/>
      <c r="CL222" s="51"/>
      <c r="CR222" s="51"/>
      <c r="CS222" s="51"/>
      <c r="CY222" s="51"/>
      <c r="CZ222" s="51"/>
      <c r="DF222" s="51"/>
      <c r="DG222" s="51"/>
      <c r="DM222" s="51"/>
      <c r="DN222" s="51"/>
      <c r="DT222" s="51"/>
      <c r="DU222" s="51"/>
      <c r="EA222" s="51"/>
      <c r="EB222" s="51"/>
      <c r="EH222" s="51"/>
      <c r="EI222" s="51"/>
      <c r="EO222" s="51"/>
      <c r="EP222" s="51"/>
      <c r="EV222" s="51"/>
      <c r="EW222" s="51"/>
      <c r="FC222" s="51"/>
      <c r="FD222" s="51"/>
      <c r="FJ222" s="51"/>
      <c r="FK222" s="51"/>
      <c r="FQ222" s="51"/>
      <c r="FR222" s="51"/>
      <c r="FX222" s="51"/>
      <c r="FY222" s="51"/>
      <c r="GE222" s="51"/>
      <c r="GF222" s="51"/>
      <c r="GL222" s="51"/>
      <c r="GM222" s="51"/>
      <c r="GS222" s="51"/>
      <c r="GT222" s="51"/>
      <c r="GZ222" s="51"/>
      <c r="HA222" s="51"/>
      <c r="HG222" s="51"/>
      <c r="HH222" s="51"/>
      <c r="HN222" s="51"/>
      <c r="HO222" s="51"/>
    </row>
    <row r="223" customFormat="false" ht="15" hidden="false" customHeight="false" outlineLevel="0" collapsed="false">
      <c r="A223" s="0" t="str">
        <f aca="false">'Schedule Engine'!B222</f>
        <v>IW15</v>
      </c>
      <c r="B223" s="0" t="str">
        <f aca="false">'Schedule Engine'!E222</f>
        <v>Estimate</v>
      </c>
      <c r="C223" s="0" t="str">
        <f aca="false">'Schedule Engine'!F222</f>
        <v>Willett &amp; Assoc.</v>
      </c>
      <c r="D223" s="0" t="n">
        <f aca="false">'Schedule Engine'!G222</f>
        <v>0</v>
      </c>
      <c r="E223" s="34" t="n">
        <f aca="false">'Schedule Engine'!N222</f>
        <v>46218</v>
      </c>
      <c r="F223" s="34" t="n">
        <f aca="false">'Schedule Engine'!O222</f>
        <v>46231</v>
      </c>
      <c r="G223" s="0" t="n">
        <f aca="false">'Schedule Engine'!K222</f>
        <v>10</v>
      </c>
      <c r="H223" s="0" t="n">
        <f aca="false">'Schedule Engine'!P222</f>
        <v>0</v>
      </c>
      <c r="L223" s="51"/>
      <c r="M223" s="51"/>
      <c r="S223" s="51"/>
      <c r="T223" s="51"/>
      <c r="Z223" s="51"/>
      <c r="AA223" s="51"/>
      <c r="AG223" s="51"/>
      <c r="AH223" s="51"/>
      <c r="AN223" s="51"/>
      <c r="AO223" s="51"/>
      <c r="AU223" s="51"/>
      <c r="AV223" s="51"/>
      <c r="BB223" s="51"/>
      <c r="BC223" s="51"/>
      <c r="BI223" s="51"/>
      <c r="BJ223" s="51"/>
      <c r="BP223" s="51"/>
      <c r="BQ223" s="51"/>
      <c r="BW223" s="51"/>
      <c r="BX223" s="51"/>
      <c r="CD223" s="51"/>
      <c r="CE223" s="51"/>
      <c r="CK223" s="51"/>
      <c r="CL223" s="51"/>
      <c r="CR223" s="51"/>
      <c r="CS223" s="51"/>
      <c r="CY223" s="51"/>
      <c r="CZ223" s="51"/>
      <c r="DF223" s="51"/>
      <c r="DG223" s="51"/>
      <c r="DM223" s="51"/>
      <c r="DN223" s="51"/>
      <c r="DT223" s="51"/>
      <c r="DU223" s="51"/>
      <c r="EA223" s="51"/>
      <c r="EB223" s="51"/>
      <c r="EH223" s="51"/>
      <c r="EI223" s="51"/>
      <c r="EO223" s="51"/>
      <c r="EP223" s="51"/>
      <c r="EV223" s="51"/>
      <c r="EW223" s="51"/>
      <c r="FC223" s="51"/>
      <c r="FD223" s="51"/>
      <c r="FJ223" s="51"/>
      <c r="FK223" s="51"/>
      <c r="FQ223" s="51"/>
      <c r="FR223" s="51"/>
      <c r="FX223" s="51"/>
      <c r="FY223" s="51"/>
      <c r="GE223" s="51"/>
      <c r="GF223" s="51"/>
      <c r="GL223" s="51"/>
      <c r="GM223" s="51"/>
      <c r="GS223" s="51"/>
      <c r="GT223" s="51"/>
      <c r="GZ223" s="51"/>
      <c r="HA223" s="51"/>
      <c r="HG223" s="51"/>
      <c r="HH223" s="51"/>
      <c r="HN223" s="51"/>
      <c r="HO223" s="51"/>
    </row>
    <row r="224" customFormat="false" ht="15" hidden="false" customHeight="false" outlineLevel="0" collapsed="false">
      <c r="A224" s="0" t="str">
        <f aca="false">'Schedule Engine'!B223</f>
        <v>IW15</v>
      </c>
      <c r="B224" s="0" t="str">
        <f aca="false">'Schedule Engine'!E223</f>
        <v>Clearing</v>
      </c>
      <c r="C224" s="0" t="str">
        <f aca="false">'Schedule Engine'!F223</f>
        <v>Willett &amp; Assoc.</v>
      </c>
      <c r="D224" s="0" t="n">
        <f aca="false">'Schedule Engine'!G223</f>
        <v>0</v>
      </c>
      <c r="E224" s="34" t="n">
        <f aca="false">'Schedule Engine'!N223</f>
        <v>46232</v>
      </c>
      <c r="F224" s="34" t="n">
        <f aca="false">'Schedule Engine'!O223</f>
        <v>46234</v>
      </c>
      <c r="G224" s="0" t="n">
        <f aca="false">'Schedule Engine'!K223</f>
        <v>3</v>
      </c>
      <c r="H224" s="0" t="n">
        <f aca="false">'Schedule Engine'!P223</f>
        <v>0</v>
      </c>
      <c r="L224" s="51"/>
      <c r="M224" s="51"/>
      <c r="S224" s="51"/>
      <c r="T224" s="51"/>
      <c r="Z224" s="51"/>
      <c r="AA224" s="51"/>
      <c r="AG224" s="51"/>
      <c r="AH224" s="51"/>
      <c r="AN224" s="51"/>
      <c r="AO224" s="51"/>
      <c r="AU224" s="51"/>
      <c r="AV224" s="51"/>
      <c r="BB224" s="51"/>
      <c r="BC224" s="51"/>
      <c r="BI224" s="51"/>
      <c r="BJ224" s="51"/>
      <c r="BP224" s="51"/>
      <c r="BQ224" s="51"/>
      <c r="BW224" s="51"/>
      <c r="BX224" s="51"/>
      <c r="CD224" s="51"/>
      <c r="CE224" s="51"/>
      <c r="CK224" s="51"/>
      <c r="CL224" s="51"/>
      <c r="CR224" s="51"/>
      <c r="CS224" s="51"/>
      <c r="CY224" s="51"/>
      <c r="CZ224" s="51"/>
      <c r="DF224" s="51"/>
      <c r="DG224" s="51"/>
      <c r="DM224" s="51"/>
      <c r="DN224" s="51"/>
      <c r="DT224" s="51"/>
      <c r="DU224" s="51"/>
      <c r="EA224" s="51"/>
      <c r="EB224" s="51"/>
      <c r="EH224" s="51"/>
      <c r="EI224" s="51"/>
      <c r="EO224" s="51"/>
      <c r="EP224" s="51"/>
      <c r="EV224" s="51"/>
      <c r="EW224" s="51"/>
      <c r="FC224" s="51"/>
      <c r="FD224" s="51"/>
      <c r="FJ224" s="51"/>
      <c r="FK224" s="51"/>
      <c r="FQ224" s="51"/>
      <c r="FR224" s="51"/>
      <c r="FX224" s="51"/>
      <c r="FY224" s="51"/>
      <c r="GE224" s="51"/>
      <c r="GF224" s="51"/>
      <c r="GL224" s="51"/>
      <c r="GM224" s="51"/>
      <c r="GS224" s="51"/>
      <c r="GT224" s="51"/>
      <c r="GZ224" s="51"/>
      <c r="HA224" s="51"/>
      <c r="HG224" s="51"/>
      <c r="HH224" s="51"/>
      <c r="HN224" s="51"/>
      <c r="HO224" s="51"/>
    </row>
    <row r="225" customFormat="false" ht="15" hidden="false" customHeight="false" outlineLevel="0" collapsed="false">
      <c r="A225" s="0" t="str">
        <f aca="false">'Schedule Engine'!B224</f>
        <v>IW15</v>
      </c>
      <c r="B225" s="0" t="str">
        <f aca="false">'Schedule Engine'!E224</f>
        <v>Site Prep</v>
      </c>
      <c r="C225" s="0" t="str">
        <f aca="false">'Schedule Engine'!F224</f>
        <v>Willett &amp; Assoc.</v>
      </c>
      <c r="D225" s="0" t="n">
        <f aca="false">'Schedule Engine'!G224</f>
        <v>0</v>
      </c>
      <c r="E225" s="34" t="n">
        <f aca="false">'Schedule Engine'!N224</f>
        <v>46237</v>
      </c>
      <c r="F225" s="34" t="n">
        <f aca="false">'Schedule Engine'!O224</f>
        <v>46238</v>
      </c>
      <c r="G225" s="0" t="n">
        <f aca="false">'Schedule Engine'!K224</f>
        <v>2</v>
      </c>
      <c r="H225" s="0" t="n">
        <f aca="false">'Schedule Engine'!P224</f>
        <v>0</v>
      </c>
      <c r="L225" s="51"/>
      <c r="M225" s="51"/>
      <c r="S225" s="51"/>
      <c r="T225" s="51"/>
      <c r="Z225" s="51"/>
      <c r="AA225" s="51"/>
      <c r="AG225" s="51"/>
      <c r="AH225" s="51"/>
      <c r="AN225" s="51"/>
      <c r="AO225" s="51"/>
      <c r="AU225" s="51"/>
      <c r="AV225" s="51"/>
      <c r="BB225" s="51"/>
      <c r="BC225" s="51"/>
      <c r="BI225" s="51"/>
      <c r="BJ225" s="51"/>
      <c r="BP225" s="51"/>
      <c r="BQ225" s="51"/>
      <c r="BW225" s="51"/>
      <c r="BX225" s="51"/>
      <c r="CD225" s="51"/>
      <c r="CE225" s="51"/>
      <c r="CK225" s="51"/>
      <c r="CL225" s="51"/>
      <c r="CR225" s="51"/>
      <c r="CS225" s="51"/>
      <c r="CY225" s="51"/>
      <c r="CZ225" s="51"/>
      <c r="DF225" s="51"/>
      <c r="DG225" s="51"/>
      <c r="DM225" s="51"/>
      <c r="DN225" s="51"/>
      <c r="DT225" s="51"/>
      <c r="DU225" s="51"/>
      <c r="EA225" s="51"/>
      <c r="EB225" s="51"/>
      <c r="EH225" s="51"/>
      <c r="EI225" s="51"/>
      <c r="EO225" s="51"/>
      <c r="EP225" s="51"/>
      <c r="EV225" s="51"/>
      <c r="EW225" s="51"/>
      <c r="FC225" s="51"/>
      <c r="FD225" s="51"/>
      <c r="FJ225" s="51"/>
      <c r="FK225" s="51"/>
      <c r="FQ225" s="51"/>
      <c r="FR225" s="51"/>
      <c r="FX225" s="51"/>
      <c r="FY225" s="51"/>
      <c r="GE225" s="51"/>
      <c r="GF225" s="51"/>
      <c r="GL225" s="51"/>
      <c r="GM225" s="51"/>
      <c r="GS225" s="51"/>
      <c r="GT225" s="51"/>
      <c r="GZ225" s="51"/>
      <c r="HA225" s="51"/>
      <c r="HG225" s="51"/>
      <c r="HH225" s="51"/>
      <c r="HN225" s="51"/>
      <c r="HO225" s="51"/>
    </row>
    <row r="226" customFormat="false" ht="15" hidden="false" customHeight="false" outlineLevel="0" collapsed="false">
      <c r="A226" s="0" t="str">
        <f aca="false">'Schedule Engine'!B225</f>
        <v>IW15</v>
      </c>
      <c r="B226" s="0" t="str">
        <f aca="false">'Schedule Engine'!E225</f>
        <v>Footer</v>
      </c>
      <c r="C226" s="0" t="str">
        <f aca="false">'Schedule Engine'!F225</f>
        <v>3C Concrete</v>
      </c>
      <c r="D226" s="0" t="str">
        <f aca="false">'Schedule Engine'!G225</f>
        <v>3C Concrete</v>
      </c>
      <c r="E226" s="34" t="n">
        <f aca="false">'Schedule Engine'!N225</f>
        <v>46239</v>
      </c>
      <c r="F226" s="34" t="n">
        <f aca="false">'Schedule Engine'!O225</f>
        <v>46244</v>
      </c>
      <c r="G226" s="0" t="n">
        <f aca="false">'Schedule Engine'!K225</f>
        <v>4</v>
      </c>
      <c r="H226" s="0" t="n">
        <f aca="false">'Schedule Engine'!P225</f>
        <v>0</v>
      </c>
      <c r="L226" s="51"/>
      <c r="M226" s="51"/>
      <c r="S226" s="51"/>
      <c r="T226" s="51"/>
      <c r="Z226" s="51"/>
      <c r="AA226" s="51"/>
      <c r="AG226" s="51"/>
      <c r="AH226" s="51"/>
      <c r="AN226" s="51"/>
      <c r="AO226" s="51"/>
      <c r="AU226" s="51"/>
      <c r="AV226" s="51"/>
      <c r="BB226" s="51"/>
      <c r="BC226" s="51"/>
      <c r="BI226" s="51"/>
      <c r="BJ226" s="51"/>
      <c r="BP226" s="51"/>
      <c r="BQ226" s="51"/>
      <c r="BW226" s="51"/>
      <c r="BX226" s="51"/>
      <c r="CD226" s="51"/>
      <c r="CE226" s="51"/>
      <c r="CK226" s="51"/>
      <c r="CL226" s="51"/>
      <c r="CR226" s="51"/>
      <c r="CS226" s="51"/>
      <c r="CY226" s="51"/>
      <c r="CZ226" s="51"/>
      <c r="DF226" s="51"/>
      <c r="DG226" s="51"/>
      <c r="DM226" s="51"/>
      <c r="DN226" s="51"/>
      <c r="DT226" s="51"/>
      <c r="DU226" s="51"/>
      <c r="EA226" s="51"/>
      <c r="EB226" s="51"/>
      <c r="EH226" s="51"/>
      <c r="EI226" s="51"/>
      <c r="EO226" s="51"/>
      <c r="EP226" s="51"/>
      <c r="EV226" s="51"/>
      <c r="EW226" s="51"/>
      <c r="FC226" s="51"/>
      <c r="FD226" s="51"/>
      <c r="FJ226" s="51"/>
      <c r="FK226" s="51"/>
      <c r="FQ226" s="51"/>
      <c r="FR226" s="51"/>
      <c r="FX226" s="51"/>
      <c r="FY226" s="51"/>
      <c r="GE226" s="51"/>
      <c r="GF226" s="51"/>
      <c r="GL226" s="51"/>
      <c r="GM226" s="51"/>
      <c r="GS226" s="51"/>
      <c r="GT226" s="51"/>
      <c r="GZ226" s="51"/>
      <c r="HA226" s="51"/>
      <c r="HG226" s="51"/>
      <c r="HH226" s="51"/>
      <c r="HN226" s="51"/>
      <c r="HO226" s="51"/>
    </row>
    <row r="227" customFormat="false" ht="15" hidden="false" customHeight="false" outlineLevel="0" collapsed="false">
      <c r="A227" s="0" t="str">
        <f aca="false">'Schedule Engine'!B226</f>
        <v>IW15</v>
      </c>
      <c r="B227" s="0" t="str">
        <f aca="false">'Schedule Engine'!E226</f>
        <v>Block</v>
      </c>
      <c r="C227" s="0" t="str">
        <f aca="false">'Schedule Engine'!F226</f>
        <v>Julio H</v>
      </c>
      <c r="D227" s="0" t="n">
        <f aca="false">'Schedule Engine'!G226</f>
        <v>0</v>
      </c>
      <c r="E227" s="34" t="n">
        <f aca="false">'Schedule Engine'!N226</f>
        <v>46245</v>
      </c>
      <c r="F227" s="34" t="n">
        <f aca="false">'Schedule Engine'!O226</f>
        <v>46258</v>
      </c>
      <c r="G227" s="0" t="n">
        <f aca="false">'Schedule Engine'!K226</f>
        <v>10</v>
      </c>
      <c r="H227" s="0" t="n">
        <f aca="false">'Schedule Engine'!P226</f>
        <v>0</v>
      </c>
      <c r="L227" s="51"/>
      <c r="M227" s="51"/>
      <c r="S227" s="51"/>
      <c r="T227" s="51"/>
      <c r="Z227" s="51"/>
      <c r="AA227" s="51"/>
      <c r="AG227" s="51"/>
      <c r="AH227" s="51"/>
      <c r="AN227" s="51"/>
      <c r="AO227" s="51"/>
      <c r="AU227" s="51"/>
      <c r="AV227" s="51"/>
      <c r="BB227" s="51"/>
      <c r="BC227" s="51"/>
      <c r="BI227" s="51"/>
      <c r="BJ227" s="51"/>
      <c r="BP227" s="51"/>
      <c r="BQ227" s="51"/>
      <c r="BW227" s="51"/>
      <c r="BX227" s="51"/>
      <c r="CD227" s="51"/>
      <c r="CE227" s="51"/>
      <c r="CK227" s="51"/>
      <c r="CL227" s="51"/>
      <c r="CR227" s="51"/>
      <c r="CS227" s="51"/>
      <c r="CY227" s="51"/>
      <c r="CZ227" s="51"/>
      <c r="DF227" s="51"/>
      <c r="DG227" s="51"/>
      <c r="DM227" s="51"/>
      <c r="DN227" s="51"/>
      <c r="DT227" s="51"/>
      <c r="DU227" s="51"/>
      <c r="EA227" s="51"/>
      <c r="EB227" s="51"/>
      <c r="EH227" s="51"/>
      <c r="EI227" s="51"/>
      <c r="EO227" s="51"/>
      <c r="EP227" s="51"/>
      <c r="EV227" s="51"/>
      <c r="EW227" s="51"/>
      <c r="FC227" s="51"/>
      <c r="FD227" s="51"/>
      <c r="FJ227" s="51"/>
      <c r="FK227" s="51"/>
      <c r="FQ227" s="51"/>
      <c r="FR227" s="51"/>
      <c r="FX227" s="51"/>
      <c r="FY227" s="51"/>
      <c r="GE227" s="51"/>
      <c r="GF227" s="51"/>
      <c r="GL227" s="51"/>
      <c r="GM227" s="51"/>
      <c r="GS227" s="51"/>
      <c r="GT227" s="51"/>
      <c r="GZ227" s="51"/>
      <c r="HA227" s="51"/>
      <c r="HG227" s="51"/>
      <c r="HH227" s="51"/>
      <c r="HN227" s="51"/>
      <c r="HO227" s="51"/>
    </row>
    <row r="228" customFormat="false" ht="15" hidden="false" customHeight="false" outlineLevel="0" collapsed="false">
      <c r="A228" s="0" t="str">
        <f aca="false">'Schedule Engine'!B227</f>
        <v>IW15</v>
      </c>
      <c r="B228" s="0" t="str">
        <f aca="false">'Schedule Engine'!E227</f>
        <v>French Drain</v>
      </c>
      <c r="C228" s="0" t="str">
        <f aca="false">'Schedule Engine'!F227</f>
        <v>Jacob Hayden</v>
      </c>
      <c r="D228" s="0" t="n">
        <f aca="false">'Schedule Engine'!G227</f>
        <v>0</v>
      </c>
      <c r="E228" s="34" t="n">
        <f aca="false">'Schedule Engine'!N227</f>
        <v>46259</v>
      </c>
      <c r="F228" s="34" t="n">
        <f aca="false">'Schedule Engine'!O227</f>
        <v>46260</v>
      </c>
      <c r="G228" s="0" t="n">
        <f aca="false">'Schedule Engine'!K227</f>
        <v>2</v>
      </c>
      <c r="H228" s="0" t="n">
        <f aca="false">'Schedule Engine'!P227</f>
        <v>0</v>
      </c>
      <c r="L228" s="51"/>
      <c r="M228" s="51"/>
      <c r="S228" s="51"/>
      <c r="T228" s="51"/>
      <c r="Z228" s="51"/>
      <c r="AA228" s="51"/>
      <c r="AG228" s="51"/>
      <c r="AH228" s="51"/>
      <c r="AN228" s="51"/>
      <c r="AO228" s="51"/>
      <c r="AU228" s="51"/>
      <c r="AV228" s="51"/>
      <c r="BB228" s="51"/>
      <c r="BC228" s="51"/>
      <c r="BI228" s="51"/>
      <c r="BJ228" s="51"/>
      <c r="BP228" s="51"/>
      <c r="BQ228" s="51"/>
      <c r="BW228" s="51"/>
      <c r="BX228" s="51"/>
      <c r="CD228" s="51"/>
      <c r="CE228" s="51"/>
      <c r="CK228" s="51"/>
      <c r="CL228" s="51"/>
      <c r="CR228" s="51"/>
      <c r="CS228" s="51"/>
      <c r="CY228" s="51"/>
      <c r="CZ228" s="51"/>
      <c r="DF228" s="51"/>
      <c r="DG228" s="51"/>
      <c r="DM228" s="51"/>
      <c r="DN228" s="51"/>
      <c r="DT228" s="51"/>
      <c r="DU228" s="51"/>
      <c r="EA228" s="51"/>
      <c r="EB228" s="51"/>
      <c r="EH228" s="51"/>
      <c r="EI228" s="51"/>
      <c r="EO228" s="51"/>
      <c r="EP228" s="51"/>
      <c r="EV228" s="51"/>
      <c r="EW228" s="51"/>
      <c r="FC228" s="51"/>
      <c r="FD228" s="51"/>
      <c r="FJ228" s="51"/>
      <c r="FK228" s="51"/>
      <c r="FQ228" s="51"/>
      <c r="FR228" s="51"/>
      <c r="FX228" s="51"/>
      <c r="FY228" s="51"/>
      <c r="GE228" s="51"/>
      <c r="GF228" s="51"/>
      <c r="GL228" s="51"/>
      <c r="GM228" s="51"/>
      <c r="GS228" s="51"/>
      <c r="GT228" s="51"/>
      <c r="GZ228" s="51"/>
      <c r="HA228" s="51"/>
      <c r="HG228" s="51"/>
      <c r="HH228" s="51"/>
      <c r="HN228" s="51"/>
      <c r="HO228" s="51"/>
    </row>
    <row r="229" customFormat="false" ht="15" hidden="false" customHeight="false" outlineLevel="0" collapsed="false">
      <c r="A229" s="0" t="str">
        <f aca="false">'Schedule Engine'!B228</f>
        <v>IW15</v>
      </c>
      <c r="B229" s="0" t="str">
        <f aca="false">'Schedule Engine'!E228</f>
        <v>Insulation Block</v>
      </c>
      <c r="C229" s="0" t="str">
        <f aca="false">'Schedule Engine'!F228</f>
        <v>Tyler Champion</v>
      </c>
      <c r="D229" s="0" t="n">
        <f aca="false">'Schedule Engine'!G228</f>
        <v>0</v>
      </c>
      <c r="E229" s="34" t="n">
        <f aca="false">'Schedule Engine'!N228</f>
        <v>46259</v>
      </c>
      <c r="F229" s="34" t="n">
        <f aca="false">'Schedule Engine'!O228</f>
        <v>46260</v>
      </c>
      <c r="G229" s="0" t="n">
        <f aca="false">'Schedule Engine'!K228</f>
        <v>2</v>
      </c>
      <c r="H229" s="0" t="n">
        <f aca="false">'Schedule Engine'!P228</f>
        <v>0</v>
      </c>
      <c r="L229" s="51"/>
      <c r="M229" s="51"/>
      <c r="S229" s="51"/>
      <c r="T229" s="51"/>
      <c r="Z229" s="51"/>
      <c r="AA229" s="51"/>
      <c r="AG229" s="51"/>
      <c r="AH229" s="51"/>
      <c r="AN229" s="51"/>
      <c r="AO229" s="51"/>
      <c r="AU229" s="51"/>
      <c r="AV229" s="51"/>
      <c r="BB229" s="51"/>
      <c r="BC229" s="51"/>
      <c r="BI229" s="51"/>
      <c r="BJ229" s="51"/>
      <c r="BP229" s="51"/>
      <c r="BQ229" s="51"/>
      <c r="BW229" s="51"/>
      <c r="BX229" s="51"/>
      <c r="CD229" s="51"/>
      <c r="CE229" s="51"/>
      <c r="CK229" s="51"/>
      <c r="CL229" s="51"/>
      <c r="CR229" s="51"/>
      <c r="CS229" s="51"/>
      <c r="CY229" s="51"/>
      <c r="CZ229" s="51"/>
      <c r="DF229" s="51"/>
      <c r="DG229" s="51"/>
      <c r="DM229" s="51"/>
      <c r="DN229" s="51"/>
      <c r="DT229" s="51"/>
      <c r="DU229" s="51"/>
      <c r="EA229" s="51"/>
      <c r="EB229" s="51"/>
      <c r="EH229" s="51"/>
      <c r="EI229" s="51"/>
      <c r="EO229" s="51"/>
      <c r="EP229" s="51"/>
      <c r="EV229" s="51"/>
      <c r="EW229" s="51"/>
      <c r="FC229" s="51"/>
      <c r="FD229" s="51"/>
      <c r="FJ229" s="51"/>
      <c r="FK229" s="51"/>
      <c r="FQ229" s="51"/>
      <c r="FR229" s="51"/>
      <c r="FX229" s="51"/>
      <c r="FY229" s="51"/>
      <c r="GE229" s="51"/>
      <c r="GF229" s="51"/>
      <c r="GL229" s="51"/>
      <c r="GM229" s="51"/>
      <c r="GS229" s="51"/>
      <c r="GT229" s="51"/>
      <c r="GZ229" s="51"/>
      <c r="HA229" s="51"/>
      <c r="HG229" s="51"/>
      <c r="HH229" s="51"/>
      <c r="HN229" s="51"/>
      <c r="HO229" s="51"/>
    </row>
    <row r="230" customFormat="false" ht="15" hidden="false" customHeight="false" outlineLevel="0" collapsed="false">
      <c r="A230" s="0" t="str">
        <f aca="false">'Schedule Engine'!B229</f>
        <v>IW15</v>
      </c>
      <c r="B230" s="0" t="str">
        <f aca="false">'Schedule Engine'!E229</f>
        <v>Rock Work</v>
      </c>
      <c r="C230" s="0" t="n">
        <f aca="false">'Schedule Engine'!F229</f>
        <v>0</v>
      </c>
      <c r="D230" s="0" t="n">
        <f aca="false">'Schedule Engine'!G229</f>
        <v>0</v>
      </c>
      <c r="E230" s="34" t="n">
        <f aca="false">'Schedule Engine'!N229</f>
        <v>46261</v>
      </c>
      <c r="F230" s="34" t="n">
        <f aca="false">'Schedule Engine'!O229</f>
        <v>46262</v>
      </c>
      <c r="G230" s="0" t="n">
        <f aca="false">'Schedule Engine'!K229</f>
        <v>2</v>
      </c>
      <c r="H230" s="0" t="n">
        <f aca="false">'Schedule Engine'!P229</f>
        <v>0</v>
      </c>
      <c r="L230" s="51"/>
      <c r="M230" s="51"/>
      <c r="S230" s="51"/>
      <c r="T230" s="51"/>
      <c r="Z230" s="51"/>
      <c r="AA230" s="51"/>
      <c r="AG230" s="51"/>
      <c r="AH230" s="51"/>
      <c r="AN230" s="51"/>
      <c r="AO230" s="51"/>
      <c r="AU230" s="51"/>
      <c r="AV230" s="51"/>
      <c r="BB230" s="51"/>
      <c r="BC230" s="51"/>
      <c r="BI230" s="51"/>
      <c r="BJ230" s="51"/>
      <c r="BP230" s="51"/>
      <c r="BQ230" s="51"/>
      <c r="BW230" s="51"/>
      <c r="BX230" s="51"/>
      <c r="CD230" s="51"/>
      <c r="CE230" s="51"/>
      <c r="CK230" s="51"/>
      <c r="CL230" s="51"/>
      <c r="CR230" s="51"/>
      <c r="CS230" s="51"/>
      <c r="CY230" s="51"/>
      <c r="CZ230" s="51"/>
      <c r="DF230" s="51"/>
      <c r="DG230" s="51"/>
      <c r="DM230" s="51"/>
      <c r="DN230" s="51"/>
      <c r="DT230" s="51"/>
      <c r="DU230" s="51"/>
      <c r="EA230" s="51"/>
      <c r="EB230" s="51"/>
      <c r="EH230" s="51"/>
      <c r="EI230" s="51"/>
      <c r="EO230" s="51"/>
      <c r="EP230" s="51"/>
      <c r="EV230" s="51"/>
      <c r="EW230" s="51"/>
      <c r="FC230" s="51"/>
      <c r="FD230" s="51"/>
      <c r="FJ230" s="51"/>
      <c r="FK230" s="51"/>
      <c r="FQ230" s="51"/>
      <c r="FR230" s="51"/>
      <c r="FX230" s="51"/>
      <c r="FY230" s="51"/>
      <c r="GE230" s="51"/>
      <c r="GF230" s="51"/>
      <c r="GL230" s="51"/>
      <c r="GM230" s="51"/>
      <c r="GS230" s="51"/>
      <c r="GT230" s="51"/>
      <c r="GZ230" s="51"/>
      <c r="HA230" s="51"/>
      <c r="HG230" s="51"/>
      <c r="HH230" s="51"/>
      <c r="HN230" s="51"/>
      <c r="HO230" s="51"/>
    </row>
    <row r="231" customFormat="false" ht="15" hidden="false" customHeight="false" outlineLevel="0" collapsed="false">
      <c r="A231" s="0" t="str">
        <f aca="false">'Schedule Engine'!B230</f>
        <v>IW15</v>
      </c>
      <c r="B231" s="0" t="str">
        <f aca="false">'Schedule Engine'!E230</f>
        <v>HVAC Pre</v>
      </c>
      <c r="C231" s="0" t="str">
        <f aca="false">'Schedule Engine'!F230</f>
        <v>Adco</v>
      </c>
      <c r="D231" s="0" t="n">
        <f aca="false">'Schedule Engine'!G230</f>
        <v>0</v>
      </c>
      <c r="E231" s="34" t="n">
        <f aca="false">'Schedule Engine'!N230</f>
        <v>46265</v>
      </c>
      <c r="F231" s="34" t="n">
        <f aca="false">'Schedule Engine'!O230</f>
        <v>46266</v>
      </c>
      <c r="G231" s="0" t="n">
        <f aca="false">'Schedule Engine'!K230</f>
        <v>2</v>
      </c>
      <c r="H231" s="0" t="n">
        <f aca="false">'Schedule Engine'!P230</f>
        <v>0</v>
      </c>
      <c r="L231" s="51"/>
      <c r="M231" s="51"/>
      <c r="S231" s="51"/>
      <c r="T231" s="51"/>
      <c r="Z231" s="51"/>
      <c r="AA231" s="51"/>
      <c r="AG231" s="51"/>
      <c r="AH231" s="51"/>
      <c r="AN231" s="51"/>
      <c r="AO231" s="51"/>
      <c r="AU231" s="51"/>
      <c r="AV231" s="51"/>
      <c r="BB231" s="51"/>
      <c r="BC231" s="51"/>
      <c r="BI231" s="51"/>
      <c r="BJ231" s="51"/>
      <c r="BP231" s="51"/>
      <c r="BQ231" s="51"/>
      <c r="BW231" s="51"/>
      <c r="BX231" s="51"/>
      <c r="CD231" s="51"/>
      <c r="CE231" s="51"/>
      <c r="CK231" s="51"/>
      <c r="CL231" s="51"/>
      <c r="CR231" s="51"/>
      <c r="CS231" s="51"/>
      <c r="CY231" s="51"/>
      <c r="CZ231" s="51"/>
      <c r="DF231" s="51"/>
      <c r="DG231" s="51"/>
      <c r="DM231" s="51"/>
      <c r="DN231" s="51"/>
      <c r="DT231" s="51"/>
      <c r="DU231" s="51"/>
      <c r="EA231" s="51"/>
      <c r="EB231" s="51"/>
      <c r="EH231" s="51"/>
      <c r="EI231" s="51"/>
      <c r="EO231" s="51"/>
      <c r="EP231" s="51"/>
      <c r="EV231" s="51"/>
      <c r="EW231" s="51"/>
      <c r="FC231" s="51"/>
      <c r="FD231" s="51"/>
      <c r="FJ231" s="51"/>
      <c r="FK231" s="51"/>
      <c r="FQ231" s="51"/>
      <c r="FR231" s="51"/>
      <c r="FX231" s="51"/>
      <c r="FY231" s="51"/>
      <c r="GE231" s="51"/>
      <c r="GF231" s="51"/>
      <c r="GL231" s="51"/>
      <c r="GM231" s="51"/>
      <c r="GS231" s="51"/>
      <c r="GT231" s="51"/>
      <c r="GZ231" s="51"/>
      <c r="HA231" s="51"/>
      <c r="HG231" s="51"/>
      <c r="HH231" s="51"/>
      <c r="HN231" s="51"/>
      <c r="HO231" s="51"/>
    </row>
    <row r="232" customFormat="false" ht="15" hidden="false" customHeight="false" outlineLevel="0" collapsed="false">
      <c r="A232" s="0" t="str">
        <f aca="false">'Schedule Engine'!B231</f>
        <v>IW15</v>
      </c>
      <c r="B232" s="0" t="str">
        <f aca="false">'Schedule Engine'!E231</f>
        <v>Plumbing Pre</v>
      </c>
      <c r="C232" s="0" t="str">
        <f aca="false">'Schedule Engine'!F231</f>
        <v>Hays</v>
      </c>
      <c r="D232" s="0" t="str">
        <f aca="false">'Schedule Engine'!G231</f>
        <v>Hays</v>
      </c>
      <c r="E232" s="34" t="n">
        <f aca="false">'Schedule Engine'!N231</f>
        <v>46265</v>
      </c>
      <c r="F232" s="34" t="n">
        <f aca="false">'Schedule Engine'!O231</f>
        <v>46269</v>
      </c>
      <c r="G232" s="0" t="n">
        <f aca="false">'Schedule Engine'!K231</f>
        <v>5</v>
      </c>
      <c r="H232" s="0" t="n">
        <f aca="false">'Schedule Engine'!P231</f>
        <v>0</v>
      </c>
      <c r="L232" s="51"/>
      <c r="M232" s="51"/>
      <c r="S232" s="51"/>
      <c r="T232" s="51"/>
      <c r="Z232" s="51"/>
      <c r="AA232" s="51"/>
      <c r="AG232" s="51"/>
      <c r="AH232" s="51"/>
      <c r="AN232" s="51"/>
      <c r="AO232" s="51"/>
      <c r="AU232" s="51"/>
      <c r="AV232" s="51"/>
      <c r="BB232" s="51"/>
      <c r="BC232" s="51"/>
      <c r="BI232" s="51"/>
      <c r="BJ232" s="51"/>
      <c r="BP232" s="51"/>
      <c r="BQ232" s="51"/>
      <c r="BW232" s="51"/>
      <c r="BX232" s="51"/>
      <c r="CD232" s="51"/>
      <c r="CE232" s="51"/>
      <c r="CK232" s="51"/>
      <c r="CL232" s="51"/>
      <c r="CR232" s="51"/>
      <c r="CS232" s="51"/>
      <c r="CY232" s="51"/>
      <c r="CZ232" s="51"/>
      <c r="DF232" s="51"/>
      <c r="DG232" s="51"/>
      <c r="DM232" s="51"/>
      <c r="DN232" s="51"/>
      <c r="DT232" s="51"/>
      <c r="DU232" s="51"/>
      <c r="EA232" s="51"/>
      <c r="EB232" s="51"/>
      <c r="EH232" s="51"/>
      <c r="EI232" s="51"/>
      <c r="EO232" s="51"/>
      <c r="EP232" s="51"/>
      <c r="EV232" s="51"/>
      <c r="EW232" s="51"/>
      <c r="FC232" s="51"/>
      <c r="FD232" s="51"/>
      <c r="FJ232" s="51"/>
      <c r="FK232" s="51"/>
      <c r="FQ232" s="51"/>
      <c r="FR232" s="51"/>
      <c r="FX232" s="51"/>
      <c r="FY232" s="51"/>
      <c r="GE232" s="51"/>
      <c r="GF232" s="51"/>
      <c r="GL232" s="51"/>
      <c r="GM232" s="51"/>
      <c r="GS232" s="51"/>
      <c r="GT232" s="51"/>
      <c r="GZ232" s="51"/>
      <c r="HA232" s="51"/>
      <c r="HG232" s="51"/>
      <c r="HH232" s="51"/>
      <c r="HN232" s="51"/>
      <c r="HO232" s="51"/>
    </row>
    <row r="233" customFormat="false" ht="15" hidden="false" customHeight="false" outlineLevel="0" collapsed="false">
      <c r="A233" s="0" t="str">
        <f aca="false">'Schedule Engine'!B232</f>
        <v>IW15</v>
      </c>
      <c r="B233" s="0" t="str">
        <f aca="false">'Schedule Engine'!E232</f>
        <v>Electrical Pre</v>
      </c>
      <c r="C233" s="0" t="str">
        <f aca="false">'Schedule Engine'!F232</f>
        <v>Dave Kaler</v>
      </c>
      <c r="D233" s="0" t="n">
        <f aca="false">'Schedule Engine'!G232</f>
        <v>0</v>
      </c>
      <c r="E233" s="34" t="n">
        <f aca="false">'Schedule Engine'!N232</f>
        <v>46265</v>
      </c>
      <c r="F233" s="34" t="n">
        <f aca="false">'Schedule Engine'!O232</f>
        <v>46266</v>
      </c>
      <c r="G233" s="0" t="n">
        <f aca="false">'Schedule Engine'!K232</f>
        <v>2</v>
      </c>
      <c r="H233" s="0" t="n">
        <f aca="false">'Schedule Engine'!P232</f>
        <v>0</v>
      </c>
      <c r="L233" s="51"/>
      <c r="M233" s="51"/>
      <c r="S233" s="51"/>
      <c r="T233" s="51"/>
      <c r="Z233" s="51"/>
      <c r="AA233" s="51"/>
      <c r="AG233" s="51"/>
      <c r="AH233" s="51"/>
      <c r="AN233" s="51"/>
      <c r="AO233" s="51"/>
      <c r="AU233" s="51"/>
      <c r="AV233" s="51"/>
      <c r="BB233" s="51"/>
      <c r="BC233" s="51"/>
      <c r="BI233" s="51"/>
      <c r="BJ233" s="51"/>
      <c r="BP233" s="51"/>
      <c r="BQ233" s="51"/>
      <c r="BW233" s="51"/>
      <c r="BX233" s="51"/>
      <c r="CD233" s="51"/>
      <c r="CE233" s="51"/>
      <c r="CK233" s="51"/>
      <c r="CL233" s="51"/>
      <c r="CR233" s="51"/>
      <c r="CS233" s="51"/>
      <c r="CY233" s="51"/>
      <c r="CZ233" s="51"/>
      <c r="DF233" s="51"/>
      <c r="DG233" s="51"/>
      <c r="DM233" s="51"/>
      <c r="DN233" s="51"/>
      <c r="DT233" s="51"/>
      <c r="DU233" s="51"/>
      <c r="EA233" s="51"/>
      <c r="EB233" s="51"/>
      <c r="EH233" s="51"/>
      <c r="EI233" s="51"/>
      <c r="EO233" s="51"/>
      <c r="EP233" s="51"/>
      <c r="EV233" s="51"/>
      <c r="EW233" s="51"/>
      <c r="FC233" s="51"/>
      <c r="FD233" s="51"/>
      <c r="FJ233" s="51"/>
      <c r="FK233" s="51"/>
      <c r="FQ233" s="51"/>
      <c r="FR233" s="51"/>
      <c r="FX233" s="51"/>
      <c r="FY233" s="51"/>
      <c r="GE233" s="51"/>
      <c r="GF233" s="51"/>
      <c r="GL233" s="51"/>
      <c r="GM233" s="51"/>
      <c r="GS233" s="51"/>
      <c r="GT233" s="51"/>
      <c r="GZ233" s="51"/>
      <c r="HA233" s="51"/>
      <c r="HG233" s="51"/>
      <c r="HH233" s="51"/>
      <c r="HN233" s="51"/>
      <c r="HO233" s="51"/>
    </row>
    <row r="234" customFormat="false" ht="15" hidden="false" customHeight="false" outlineLevel="0" collapsed="false">
      <c r="A234" s="0" t="str">
        <f aca="false">'Schedule Engine'!B233</f>
        <v>IW15</v>
      </c>
      <c r="B234" s="0" t="str">
        <f aca="false">'Schedule Engine'!E233</f>
        <v>Slab</v>
      </c>
      <c r="C234" s="0" t="str">
        <f aca="false">'Schedule Engine'!F233</f>
        <v>3C Concrete</v>
      </c>
      <c r="D234" s="0" t="str">
        <f aca="false">'Schedule Engine'!G233</f>
        <v>3C Concrete</v>
      </c>
      <c r="E234" s="34" t="n">
        <f aca="false">'Schedule Engine'!N233</f>
        <v>46272</v>
      </c>
      <c r="F234" s="34" t="n">
        <f aca="false">'Schedule Engine'!O233</f>
        <v>46275</v>
      </c>
      <c r="G234" s="0" t="n">
        <f aca="false">'Schedule Engine'!K233</f>
        <v>4</v>
      </c>
      <c r="H234" s="0" t="n">
        <f aca="false">'Schedule Engine'!P233</f>
        <v>0</v>
      </c>
      <c r="L234" s="51"/>
      <c r="M234" s="51"/>
      <c r="S234" s="51"/>
      <c r="T234" s="51"/>
      <c r="Z234" s="51"/>
      <c r="AA234" s="51"/>
      <c r="AG234" s="51"/>
      <c r="AH234" s="51"/>
      <c r="AN234" s="51"/>
      <c r="AO234" s="51"/>
      <c r="AU234" s="51"/>
      <c r="AV234" s="51"/>
      <c r="BB234" s="51"/>
      <c r="BC234" s="51"/>
      <c r="BI234" s="51"/>
      <c r="BJ234" s="51"/>
      <c r="BP234" s="51"/>
      <c r="BQ234" s="51"/>
      <c r="BW234" s="51"/>
      <c r="BX234" s="51"/>
      <c r="CD234" s="51"/>
      <c r="CE234" s="51"/>
      <c r="CK234" s="51"/>
      <c r="CL234" s="51"/>
      <c r="CR234" s="51"/>
      <c r="CS234" s="51"/>
      <c r="CY234" s="51"/>
      <c r="CZ234" s="51"/>
      <c r="DF234" s="51"/>
      <c r="DG234" s="51"/>
      <c r="DM234" s="51"/>
      <c r="DN234" s="51"/>
      <c r="DT234" s="51"/>
      <c r="DU234" s="51"/>
      <c r="EA234" s="51"/>
      <c r="EB234" s="51"/>
      <c r="EH234" s="51"/>
      <c r="EI234" s="51"/>
      <c r="EO234" s="51"/>
      <c r="EP234" s="51"/>
      <c r="EV234" s="51"/>
      <c r="EW234" s="51"/>
      <c r="FC234" s="51"/>
      <c r="FD234" s="51"/>
      <c r="FJ234" s="51"/>
      <c r="FK234" s="51"/>
      <c r="FQ234" s="51"/>
      <c r="FR234" s="51"/>
      <c r="FX234" s="51"/>
      <c r="FY234" s="51"/>
      <c r="GE234" s="51"/>
      <c r="GF234" s="51"/>
      <c r="GL234" s="51"/>
      <c r="GM234" s="51"/>
      <c r="GS234" s="51"/>
      <c r="GT234" s="51"/>
      <c r="GZ234" s="51"/>
      <c r="HA234" s="51"/>
      <c r="HG234" s="51"/>
      <c r="HH234" s="51"/>
      <c r="HN234" s="51"/>
      <c r="HO234" s="51"/>
    </row>
    <row r="235" customFormat="false" ht="15" hidden="false" customHeight="false" outlineLevel="0" collapsed="false">
      <c r="A235" s="0" t="str">
        <f aca="false">'Schedule Engine'!B234</f>
        <v>IW15</v>
      </c>
      <c r="B235" s="0" t="str">
        <f aca="false">'Schedule Engine'!E234</f>
        <v>Framing</v>
      </c>
      <c r="C235" s="0" t="str">
        <f aca="false">'Schedule Engine'!F234</f>
        <v>Gerardo</v>
      </c>
      <c r="D235" s="0" t="n">
        <f aca="false">'Schedule Engine'!G234</f>
        <v>0</v>
      </c>
      <c r="E235" s="34" t="n">
        <f aca="false">'Schedule Engine'!N234</f>
        <v>46276</v>
      </c>
      <c r="F235" s="34" t="n">
        <f aca="false">'Schedule Engine'!O234</f>
        <v>46317</v>
      </c>
      <c r="G235" s="0" t="n">
        <f aca="false">'Schedule Engine'!K234</f>
        <v>30</v>
      </c>
      <c r="H235" s="0" t="n">
        <f aca="false">'Schedule Engine'!P234</f>
        <v>0</v>
      </c>
      <c r="L235" s="51"/>
      <c r="M235" s="51"/>
      <c r="S235" s="51"/>
      <c r="T235" s="51"/>
      <c r="Z235" s="51"/>
      <c r="AA235" s="51"/>
      <c r="AG235" s="51"/>
      <c r="AH235" s="51"/>
      <c r="AN235" s="51"/>
      <c r="AO235" s="51"/>
      <c r="AU235" s="51"/>
      <c r="AV235" s="51"/>
      <c r="BB235" s="51"/>
      <c r="BC235" s="51"/>
      <c r="BI235" s="51"/>
      <c r="BJ235" s="51"/>
      <c r="BP235" s="51"/>
      <c r="BQ235" s="51"/>
      <c r="BW235" s="51"/>
      <c r="BX235" s="51"/>
      <c r="CD235" s="51"/>
      <c r="CE235" s="51"/>
      <c r="CK235" s="51"/>
      <c r="CL235" s="51"/>
      <c r="CR235" s="51"/>
      <c r="CS235" s="51"/>
      <c r="CY235" s="51"/>
      <c r="CZ235" s="51"/>
      <c r="DF235" s="51"/>
      <c r="DG235" s="51"/>
      <c r="DM235" s="51"/>
      <c r="DN235" s="51"/>
      <c r="DT235" s="51"/>
      <c r="DU235" s="51"/>
      <c r="EA235" s="51"/>
      <c r="EB235" s="51"/>
      <c r="EH235" s="51"/>
      <c r="EI235" s="51"/>
      <c r="EO235" s="51"/>
      <c r="EP235" s="51"/>
      <c r="EV235" s="51"/>
      <c r="EW235" s="51"/>
      <c r="FC235" s="51"/>
      <c r="FD235" s="51"/>
      <c r="FJ235" s="51"/>
      <c r="FK235" s="51"/>
      <c r="FQ235" s="51"/>
      <c r="FR235" s="51"/>
      <c r="FX235" s="51"/>
      <c r="FY235" s="51"/>
      <c r="GE235" s="51"/>
      <c r="GF235" s="51"/>
      <c r="GL235" s="51"/>
      <c r="GM235" s="51"/>
      <c r="GS235" s="51"/>
      <c r="GT235" s="51"/>
      <c r="GZ235" s="51"/>
      <c r="HA235" s="51"/>
      <c r="HG235" s="51"/>
      <c r="HH235" s="51"/>
      <c r="HN235" s="51"/>
      <c r="HO235" s="51"/>
    </row>
    <row r="236" customFormat="false" ht="15" hidden="false" customHeight="false" outlineLevel="0" collapsed="false">
      <c r="A236" s="0" t="str">
        <f aca="false">'Schedule Engine'!B235</f>
        <v>IW15</v>
      </c>
      <c r="B236" s="0" t="str">
        <f aca="false">'Schedule Engine'!E235</f>
        <v>Roofing</v>
      </c>
      <c r="C236" s="0" t="str">
        <f aca="false">'Schedule Engine'!F235</f>
        <v>Rod Smith</v>
      </c>
      <c r="D236" s="0" t="n">
        <f aca="false">'Schedule Engine'!G235</f>
        <v>0</v>
      </c>
      <c r="E236" s="34" t="n">
        <f aca="false">'Schedule Engine'!N235</f>
        <v>46318</v>
      </c>
      <c r="F236" s="34" t="n">
        <f aca="false">'Schedule Engine'!O235</f>
        <v>46323</v>
      </c>
      <c r="G236" s="0" t="n">
        <f aca="false">'Schedule Engine'!K235</f>
        <v>4</v>
      </c>
      <c r="H236" s="0" t="n">
        <f aca="false">'Schedule Engine'!P235</f>
        <v>0</v>
      </c>
      <c r="L236" s="51"/>
      <c r="M236" s="51"/>
      <c r="S236" s="51"/>
      <c r="T236" s="51"/>
      <c r="Z236" s="51"/>
      <c r="AA236" s="51"/>
      <c r="AG236" s="51"/>
      <c r="AH236" s="51"/>
      <c r="AN236" s="51"/>
      <c r="AO236" s="51"/>
      <c r="AU236" s="51"/>
      <c r="AV236" s="51"/>
      <c r="BB236" s="51"/>
      <c r="BC236" s="51"/>
      <c r="BI236" s="51"/>
      <c r="BJ236" s="51"/>
      <c r="BP236" s="51"/>
      <c r="BQ236" s="51"/>
      <c r="BW236" s="51"/>
      <c r="BX236" s="51"/>
      <c r="CD236" s="51"/>
      <c r="CE236" s="51"/>
      <c r="CK236" s="51"/>
      <c r="CL236" s="51"/>
      <c r="CR236" s="51"/>
      <c r="CS236" s="51"/>
      <c r="CY236" s="51"/>
      <c r="CZ236" s="51"/>
      <c r="DF236" s="51"/>
      <c r="DG236" s="51"/>
      <c r="DM236" s="51"/>
      <c r="DN236" s="51"/>
      <c r="DT236" s="51"/>
      <c r="DU236" s="51"/>
      <c r="EA236" s="51"/>
      <c r="EB236" s="51"/>
      <c r="EH236" s="51"/>
      <c r="EI236" s="51"/>
      <c r="EO236" s="51"/>
      <c r="EP236" s="51"/>
      <c r="EV236" s="51"/>
      <c r="EW236" s="51"/>
      <c r="FC236" s="51"/>
      <c r="FD236" s="51"/>
      <c r="FJ236" s="51"/>
      <c r="FK236" s="51"/>
      <c r="FQ236" s="51"/>
      <c r="FR236" s="51"/>
      <c r="FX236" s="51"/>
      <c r="FY236" s="51"/>
      <c r="GE236" s="51"/>
      <c r="GF236" s="51"/>
      <c r="GL236" s="51"/>
      <c r="GM236" s="51"/>
      <c r="GS236" s="51"/>
      <c r="GT236" s="51"/>
      <c r="GZ236" s="51"/>
      <c r="HA236" s="51"/>
      <c r="HG236" s="51"/>
      <c r="HH236" s="51"/>
      <c r="HN236" s="51"/>
      <c r="HO236" s="51"/>
    </row>
    <row r="237" customFormat="false" ht="15" hidden="false" customHeight="false" outlineLevel="0" collapsed="false">
      <c r="A237" s="0" t="str">
        <f aca="false">'Schedule Engine'!B236</f>
        <v>IW15</v>
      </c>
      <c r="B237" s="0" t="str">
        <f aca="false">'Schedule Engine'!E236</f>
        <v>Brick</v>
      </c>
      <c r="C237" s="0" t="str">
        <f aca="false">'Schedule Engine'!F236</f>
        <v>Julio H</v>
      </c>
      <c r="D237" s="0" t="n">
        <f aca="false">'Schedule Engine'!G236</f>
        <v>0</v>
      </c>
      <c r="E237" s="34" t="n">
        <f aca="false">'Schedule Engine'!N236</f>
        <v>46324</v>
      </c>
      <c r="F237" s="34" t="n">
        <f aca="false">'Schedule Engine'!O236</f>
        <v>46351</v>
      </c>
      <c r="G237" s="0" t="n">
        <f aca="false">'Schedule Engine'!K236</f>
        <v>20</v>
      </c>
      <c r="H237" s="0" t="n">
        <f aca="false">'Schedule Engine'!P236</f>
        <v>0</v>
      </c>
      <c r="L237" s="51"/>
      <c r="M237" s="51"/>
      <c r="S237" s="51"/>
      <c r="T237" s="51"/>
      <c r="Z237" s="51"/>
      <c r="AA237" s="51"/>
      <c r="AG237" s="51"/>
      <c r="AH237" s="51"/>
      <c r="AN237" s="51"/>
      <c r="AO237" s="51"/>
      <c r="AU237" s="51"/>
      <c r="AV237" s="51"/>
      <c r="BB237" s="51"/>
      <c r="BC237" s="51"/>
      <c r="BI237" s="51"/>
      <c r="BJ237" s="51"/>
      <c r="BP237" s="51"/>
      <c r="BQ237" s="51"/>
      <c r="BW237" s="51"/>
      <c r="BX237" s="51"/>
      <c r="CD237" s="51"/>
      <c r="CE237" s="51"/>
      <c r="CK237" s="51"/>
      <c r="CL237" s="51"/>
      <c r="CR237" s="51"/>
      <c r="CS237" s="51"/>
      <c r="CY237" s="51"/>
      <c r="CZ237" s="51"/>
      <c r="DF237" s="51"/>
      <c r="DG237" s="51"/>
      <c r="DM237" s="51"/>
      <c r="DN237" s="51"/>
      <c r="DT237" s="51"/>
      <c r="DU237" s="51"/>
      <c r="EA237" s="51"/>
      <c r="EB237" s="51"/>
      <c r="EH237" s="51"/>
      <c r="EI237" s="51"/>
      <c r="EO237" s="51"/>
      <c r="EP237" s="51"/>
      <c r="EV237" s="51"/>
      <c r="EW237" s="51"/>
      <c r="FC237" s="51"/>
      <c r="FD237" s="51"/>
      <c r="FJ237" s="51"/>
      <c r="FK237" s="51"/>
      <c r="FQ237" s="51"/>
      <c r="FR237" s="51"/>
      <c r="FX237" s="51"/>
      <c r="FY237" s="51"/>
      <c r="GE237" s="51"/>
      <c r="GF237" s="51"/>
      <c r="GL237" s="51"/>
      <c r="GM237" s="51"/>
      <c r="GS237" s="51"/>
      <c r="GT237" s="51"/>
      <c r="GZ237" s="51"/>
      <c r="HA237" s="51"/>
      <c r="HG237" s="51"/>
      <c r="HH237" s="51"/>
      <c r="HN237" s="51"/>
      <c r="HO237" s="51"/>
    </row>
    <row r="238" customFormat="false" ht="15" hidden="false" customHeight="false" outlineLevel="0" collapsed="false">
      <c r="A238" s="0" t="str">
        <f aca="false">'Schedule Engine'!B237</f>
        <v>IW15</v>
      </c>
      <c r="B238" s="0" t="str">
        <f aca="false">'Schedule Engine'!E237</f>
        <v>Stone</v>
      </c>
      <c r="C238" s="0" t="str">
        <f aca="false">'Schedule Engine'!F237</f>
        <v>Julio H</v>
      </c>
      <c r="D238" s="0" t="n">
        <f aca="false">'Schedule Engine'!G237</f>
        <v>0</v>
      </c>
      <c r="E238" s="34" t="n">
        <f aca="false">'Schedule Engine'!N237</f>
        <v>46324</v>
      </c>
      <c r="F238" s="34" t="n">
        <f aca="false">'Schedule Engine'!O237</f>
        <v>46351</v>
      </c>
      <c r="G238" s="0" t="n">
        <f aca="false">'Schedule Engine'!K237</f>
        <v>20</v>
      </c>
      <c r="H238" s="0" t="n">
        <f aca="false">'Schedule Engine'!P237</f>
        <v>0</v>
      </c>
      <c r="L238" s="51"/>
      <c r="M238" s="51"/>
      <c r="S238" s="51"/>
      <c r="T238" s="51"/>
      <c r="Z238" s="51"/>
      <c r="AA238" s="51"/>
      <c r="AG238" s="51"/>
      <c r="AH238" s="51"/>
      <c r="AN238" s="51"/>
      <c r="AO238" s="51"/>
      <c r="AU238" s="51"/>
      <c r="AV238" s="51"/>
      <c r="BB238" s="51"/>
      <c r="BC238" s="51"/>
      <c r="BI238" s="51"/>
      <c r="BJ238" s="51"/>
      <c r="BP238" s="51"/>
      <c r="BQ238" s="51"/>
      <c r="BW238" s="51"/>
      <c r="BX238" s="51"/>
      <c r="CD238" s="51"/>
      <c r="CE238" s="51"/>
      <c r="CK238" s="51"/>
      <c r="CL238" s="51"/>
      <c r="CR238" s="51"/>
      <c r="CS238" s="51"/>
      <c r="CY238" s="51"/>
      <c r="CZ238" s="51"/>
      <c r="DF238" s="51"/>
      <c r="DG238" s="51"/>
      <c r="DM238" s="51"/>
      <c r="DN238" s="51"/>
      <c r="DT238" s="51"/>
      <c r="DU238" s="51"/>
      <c r="EA238" s="51"/>
      <c r="EB238" s="51"/>
      <c r="EH238" s="51"/>
      <c r="EI238" s="51"/>
      <c r="EO238" s="51"/>
      <c r="EP238" s="51"/>
      <c r="EV238" s="51"/>
      <c r="EW238" s="51"/>
      <c r="FC238" s="51"/>
      <c r="FD238" s="51"/>
      <c r="FJ238" s="51"/>
      <c r="FK238" s="51"/>
      <c r="FQ238" s="51"/>
      <c r="FR238" s="51"/>
      <c r="FX238" s="51"/>
      <c r="FY238" s="51"/>
      <c r="GE238" s="51"/>
      <c r="GF238" s="51"/>
      <c r="GL238" s="51"/>
      <c r="GM238" s="51"/>
      <c r="GS238" s="51"/>
      <c r="GT238" s="51"/>
      <c r="GZ238" s="51"/>
      <c r="HA238" s="51"/>
      <c r="HG238" s="51"/>
      <c r="HH238" s="51"/>
      <c r="HN238" s="51"/>
      <c r="HO238" s="51"/>
    </row>
    <row r="239" customFormat="false" ht="15" hidden="false" customHeight="false" outlineLevel="0" collapsed="false">
      <c r="A239" s="0" t="str">
        <f aca="false">'Schedule Engine'!B238</f>
        <v>IW15</v>
      </c>
      <c r="B239" s="0" t="str">
        <f aca="false">'Schedule Engine'!E238</f>
        <v>Siding</v>
      </c>
      <c r="C239" s="0" t="str">
        <f aca="false">'Schedule Engine'!F238</f>
        <v>Gerardo</v>
      </c>
      <c r="D239" s="0" t="n">
        <f aca="false">'Schedule Engine'!G238</f>
        <v>0</v>
      </c>
      <c r="E239" s="34" t="n">
        <f aca="false">'Schedule Engine'!N238</f>
        <v>46324</v>
      </c>
      <c r="F239" s="34" t="n">
        <f aca="false">'Schedule Engine'!O238</f>
        <v>46351</v>
      </c>
      <c r="G239" s="0" t="n">
        <f aca="false">'Schedule Engine'!K238</f>
        <v>20</v>
      </c>
      <c r="H239" s="0" t="n">
        <f aca="false">'Schedule Engine'!P238</f>
        <v>0</v>
      </c>
      <c r="L239" s="51"/>
      <c r="M239" s="51"/>
      <c r="S239" s="51"/>
      <c r="T239" s="51"/>
      <c r="Z239" s="51"/>
      <c r="AA239" s="51"/>
      <c r="AG239" s="51"/>
      <c r="AH239" s="51"/>
      <c r="AN239" s="51"/>
      <c r="AO239" s="51"/>
      <c r="AU239" s="51"/>
      <c r="AV239" s="51"/>
      <c r="BB239" s="51"/>
      <c r="BC239" s="51"/>
      <c r="BI239" s="51"/>
      <c r="BJ239" s="51"/>
      <c r="BP239" s="51"/>
      <c r="BQ239" s="51"/>
      <c r="BW239" s="51"/>
      <c r="BX239" s="51"/>
      <c r="CD239" s="51"/>
      <c r="CE239" s="51"/>
      <c r="CK239" s="51"/>
      <c r="CL239" s="51"/>
      <c r="CR239" s="51"/>
      <c r="CS239" s="51"/>
      <c r="CY239" s="51"/>
      <c r="CZ239" s="51"/>
      <c r="DF239" s="51"/>
      <c r="DG239" s="51"/>
      <c r="DM239" s="51"/>
      <c r="DN239" s="51"/>
      <c r="DT239" s="51"/>
      <c r="DU239" s="51"/>
      <c r="EA239" s="51"/>
      <c r="EB239" s="51"/>
      <c r="EH239" s="51"/>
      <c r="EI239" s="51"/>
      <c r="EO239" s="51"/>
      <c r="EP239" s="51"/>
      <c r="EV239" s="51"/>
      <c r="EW239" s="51"/>
      <c r="FC239" s="51"/>
      <c r="FD239" s="51"/>
      <c r="FJ239" s="51"/>
      <c r="FK239" s="51"/>
      <c r="FQ239" s="51"/>
      <c r="FR239" s="51"/>
      <c r="FX239" s="51"/>
      <c r="FY239" s="51"/>
      <c r="GE239" s="51"/>
      <c r="GF239" s="51"/>
      <c r="GL239" s="51"/>
      <c r="GM239" s="51"/>
      <c r="GS239" s="51"/>
      <c r="GT239" s="51"/>
      <c r="GZ239" s="51"/>
      <c r="HA239" s="51"/>
      <c r="HG239" s="51"/>
      <c r="HH239" s="51"/>
      <c r="HN239" s="51"/>
      <c r="HO239" s="51"/>
    </row>
    <row r="240" customFormat="false" ht="15" hidden="false" customHeight="false" outlineLevel="0" collapsed="false">
      <c r="A240" s="0" t="str">
        <f aca="false">'Schedule Engine'!B239</f>
        <v>IW15</v>
      </c>
      <c r="B240" s="0" t="str">
        <f aca="false">'Schedule Engine'!E239</f>
        <v>Rough Grade</v>
      </c>
      <c r="C240" s="0" t="n">
        <f aca="false">'Schedule Engine'!F239</f>
        <v>0</v>
      </c>
      <c r="D240" s="0" t="n">
        <f aca="false">'Schedule Engine'!G239</f>
        <v>0</v>
      </c>
      <c r="E240" s="34" t="n">
        <f aca="false">'Schedule Engine'!N239</f>
        <v>46352</v>
      </c>
      <c r="F240" s="34" t="n">
        <f aca="false">'Schedule Engine'!O239</f>
        <v>46353</v>
      </c>
      <c r="G240" s="0" t="n">
        <f aca="false">'Schedule Engine'!K239</f>
        <v>2</v>
      </c>
      <c r="H240" s="0" t="n">
        <f aca="false">'Schedule Engine'!P239</f>
        <v>0</v>
      </c>
      <c r="L240" s="51"/>
      <c r="M240" s="51"/>
      <c r="S240" s="51"/>
      <c r="T240" s="51"/>
      <c r="Z240" s="51"/>
      <c r="AA240" s="51"/>
      <c r="AG240" s="51"/>
      <c r="AH240" s="51"/>
      <c r="AN240" s="51"/>
      <c r="AO240" s="51"/>
      <c r="AU240" s="51"/>
      <c r="AV240" s="51"/>
      <c r="BB240" s="51"/>
      <c r="BC240" s="51"/>
      <c r="BI240" s="51"/>
      <c r="BJ240" s="51"/>
      <c r="BP240" s="51"/>
      <c r="BQ240" s="51"/>
      <c r="BW240" s="51"/>
      <c r="BX240" s="51"/>
      <c r="CD240" s="51"/>
      <c r="CE240" s="51"/>
      <c r="CK240" s="51"/>
      <c r="CL240" s="51"/>
      <c r="CR240" s="51"/>
      <c r="CS240" s="51"/>
      <c r="CY240" s="51"/>
      <c r="CZ240" s="51"/>
      <c r="DF240" s="51"/>
      <c r="DG240" s="51"/>
      <c r="DM240" s="51"/>
      <c r="DN240" s="51"/>
      <c r="DT240" s="51"/>
      <c r="DU240" s="51"/>
      <c r="EA240" s="51"/>
      <c r="EB240" s="51"/>
      <c r="EH240" s="51"/>
      <c r="EI240" s="51"/>
      <c r="EO240" s="51"/>
      <c r="EP240" s="51"/>
      <c r="EV240" s="51"/>
      <c r="EW240" s="51"/>
      <c r="FC240" s="51"/>
      <c r="FD240" s="51"/>
      <c r="FJ240" s="51"/>
      <c r="FK240" s="51"/>
      <c r="FQ240" s="51"/>
      <c r="FR240" s="51"/>
      <c r="FX240" s="51"/>
      <c r="FY240" s="51"/>
      <c r="GE240" s="51"/>
      <c r="GF240" s="51"/>
      <c r="GL240" s="51"/>
      <c r="GM240" s="51"/>
      <c r="GS240" s="51"/>
      <c r="GT240" s="51"/>
      <c r="GZ240" s="51"/>
      <c r="HA240" s="51"/>
      <c r="HG240" s="51"/>
      <c r="HH240" s="51"/>
      <c r="HN240" s="51"/>
      <c r="HO240" s="51"/>
    </row>
    <row r="241" customFormat="false" ht="15" hidden="false" customHeight="false" outlineLevel="0" collapsed="false">
      <c r="A241" s="0" t="str">
        <f aca="false">'Schedule Engine'!B240</f>
        <v>IW15</v>
      </c>
      <c r="B241" s="0" t="str">
        <f aca="false">'Schedule Engine'!E240</f>
        <v>Irrigation</v>
      </c>
      <c r="C241" s="0" t="str">
        <f aca="false">'Schedule Engine'!F240</f>
        <v>Ramiro</v>
      </c>
      <c r="D241" s="0" t="n">
        <f aca="false">'Schedule Engine'!G240</f>
        <v>0</v>
      </c>
      <c r="E241" s="34" t="n">
        <f aca="false">'Schedule Engine'!N240</f>
        <v>46356</v>
      </c>
      <c r="F241" s="34" t="n">
        <f aca="false">'Schedule Engine'!O240</f>
        <v>46357</v>
      </c>
      <c r="G241" s="0" t="n">
        <f aca="false">'Schedule Engine'!K240</f>
        <v>2</v>
      </c>
      <c r="H241" s="0" t="n">
        <f aca="false">'Schedule Engine'!P240</f>
        <v>0</v>
      </c>
      <c r="L241" s="51"/>
      <c r="M241" s="51"/>
      <c r="S241" s="51"/>
      <c r="T241" s="51"/>
      <c r="Z241" s="51"/>
      <c r="AA241" s="51"/>
      <c r="AG241" s="51"/>
      <c r="AH241" s="51"/>
      <c r="AN241" s="51"/>
      <c r="AO241" s="51"/>
      <c r="AU241" s="51"/>
      <c r="AV241" s="51"/>
      <c r="BB241" s="51"/>
      <c r="BC241" s="51"/>
      <c r="BI241" s="51"/>
      <c r="BJ241" s="51"/>
      <c r="BP241" s="51"/>
      <c r="BQ241" s="51"/>
      <c r="BW241" s="51"/>
      <c r="BX241" s="51"/>
      <c r="CD241" s="51"/>
      <c r="CE241" s="51"/>
      <c r="CK241" s="51"/>
      <c r="CL241" s="51"/>
      <c r="CR241" s="51"/>
      <c r="CS241" s="51"/>
      <c r="CY241" s="51"/>
      <c r="CZ241" s="51"/>
      <c r="DF241" s="51"/>
      <c r="DG241" s="51"/>
      <c r="DM241" s="51"/>
      <c r="DN241" s="51"/>
      <c r="DT241" s="51"/>
      <c r="DU241" s="51"/>
      <c r="EA241" s="51"/>
      <c r="EB241" s="51"/>
      <c r="EH241" s="51"/>
      <c r="EI241" s="51"/>
      <c r="EO241" s="51"/>
      <c r="EP241" s="51"/>
      <c r="EV241" s="51"/>
      <c r="EW241" s="51"/>
      <c r="FC241" s="51"/>
      <c r="FD241" s="51"/>
      <c r="FJ241" s="51"/>
      <c r="FK241" s="51"/>
      <c r="FQ241" s="51"/>
      <c r="FR241" s="51"/>
      <c r="FX241" s="51"/>
      <c r="FY241" s="51"/>
      <c r="GE241" s="51"/>
      <c r="GF241" s="51"/>
      <c r="GL241" s="51"/>
      <c r="GM241" s="51"/>
      <c r="GS241" s="51"/>
      <c r="GT241" s="51"/>
      <c r="GZ241" s="51"/>
      <c r="HA241" s="51"/>
      <c r="HG241" s="51"/>
      <c r="HH241" s="51"/>
      <c r="HN241" s="51"/>
      <c r="HO241" s="51"/>
    </row>
    <row r="242" customFormat="false" ht="15" hidden="false" customHeight="false" outlineLevel="0" collapsed="false">
      <c r="A242" s="0" t="str">
        <f aca="false">'Schedule Engine'!B241</f>
        <v>IW15</v>
      </c>
      <c r="B242" s="0" t="str">
        <f aca="false">'Schedule Engine'!E241</f>
        <v>Finish Grade</v>
      </c>
      <c r="C242" s="0" t="str">
        <f aca="false">'Schedule Engine'!F241</f>
        <v>Jacob Hayden</v>
      </c>
      <c r="D242" s="0" t="n">
        <f aca="false">'Schedule Engine'!G241</f>
        <v>0</v>
      </c>
      <c r="E242" s="34" t="n">
        <f aca="false">'Schedule Engine'!N241</f>
        <v>46358</v>
      </c>
      <c r="F242" s="34" t="n">
        <f aca="false">'Schedule Engine'!O241</f>
        <v>46359</v>
      </c>
      <c r="G242" s="0" t="n">
        <f aca="false">'Schedule Engine'!K241</f>
        <v>2</v>
      </c>
      <c r="H242" s="0" t="n">
        <f aca="false">'Schedule Engine'!P241</f>
        <v>0</v>
      </c>
      <c r="L242" s="51"/>
      <c r="M242" s="51"/>
      <c r="S242" s="51"/>
      <c r="T242" s="51"/>
      <c r="Z242" s="51"/>
      <c r="AA242" s="51"/>
      <c r="AG242" s="51"/>
      <c r="AH242" s="51"/>
      <c r="AN242" s="51"/>
      <c r="AO242" s="51"/>
      <c r="AU242" s="51"/>
      <c r="AV242" s="51"/>
      <c r="BB242" s="51"/>
      <c r="BC242" s="51"/>
      <c r="BI242" s="51"/>
      <c r="BJ242" s="51"/>
      <c r="BP242" s="51"/>
      <c r="BQ242" s="51"/>
      <c r="BW242" s="51"/>
      <c r="BX242" s="51"/>
      <c r="CD242" s="51"/>
      <c r="CE242" s="51"/>
      <c r="CK242" s="51"/>
      <c r="CL242" s="51"/>
      <c r="CR242" s="51"/>
      <c r="CS242" s="51"/>
      <c r="CY242" s="51"/>
      <c r="CZ242" s="51"/>
      <c r="DF242" s="51"/>
      <c r="DG242" s="51"/>
      <c r="DM242" s="51"/>
      <c r="DN242" s="51"/>
      <c r="DT242" s="51"/>
      <c r="DU242" s="51"/>
      <c r="EA242" s="51"/>
      <c r="EB242" s="51"/>
      <c r="EH242" s="51"/>
      <c r="EI242" s="51"/>
      <c r="EO242" s="51"/>
      <c r="EP242" s="51"/>
      <c r="EV242" s="51"/>
      <c r="EW242" s="51"/>
      <c r="FC242" s="51"/>
      <c r="FD242" s="51"/>
      <c r="FJ242" s="51"/>
      <c r="FK242" s="51"/>
      <c r="FQ242" s="51"/>
      <c r="FR242" s="51"/>
      <c r="FX242" s="51"/>
      <c r="FY242" s="51"/>
      <c r="GE242" s="51"/>
      <c r="GF242" s="51"/>
      <c r="GL242" s="51"/>
      <c r="GM242" s="51"/>
      <c r="GS242" s="51"/>
      <c r="GT242" s="51"/>
      <c r="GZ242" s="51"/>
      <c r="HA242" s="51"/>
      <c r="HG242" s="51"/>
      <c r="HH242" s="51"/>
      <c r="HN242" s="51"/>
      <c r="HO242" s="51"/>
    </row>
    <row r="243" customFormat="false" ht="15" hidden="false" customHeight="false" outlineLevel="0" collapsed="false">
      <c r="A243" s="0" t="str">
        <f aca="false">'Schedule Engine'!B242</f>
        <v>IW15</v>
      </c>
      <c r="B243" s="0" t="str">
        <f aca="false">'Schedule Engine'!E242</f>
        <v>Landscaping</v>
      </c>
      <c r="C243" s="0" t="str">
        <f aca="false">'Schedule Engine'!F242</f>
        <v>Jacob Hayden</v>
      </c>
      <c r="D243" s="0" t="n">
        <f aca="false">'Schedule Engine'!G242</f>
        <v>0</v>
      </c>
      <c r="E243" s="34" t="n">
        <f aca="false">'Schedule Engine'!N242</f>
        <v>46358</v>
      </c>
      <c r="F243" s="34" t="n">
        <f aca="false">'Schedule Engine'!O242</f>
        <v>46359</v>
      </c>
      <c r="G243" s="0" t="n">
        <f aca="false">'Schedule Engine'!K242</f>
        <v>2</v>
      </c>
      <c r="H243" s="0" t="n">
        <f aca="false">'Schedule Engine'!P242</f>
        <v>0</v>
      </c>
      <c r="L243" s="51"/>
      <c r="M243" s="51"/>
      <c r="S243" s="51"/>
      <c r="T243" s="51"/>
      <c r="Z243" s="51"/>
      <c r="AA243" s="51"/>
      <c r="AG243" s="51"/>
      <c r="AH243" s="51"/>
      <c r="AN243" s="51"/>
      <c r="AO243" s="51"/>
      <c r="AU243" s="51"/>
      <c r="AV243" s="51"/>
      <c r="BB243" s="51"/>
      <c r="BC243" s="51"/>
      <c r="BI243" s="51"/>
      <c r="BJ243" s="51"/>
      <c r="BP243" s="51"/>
      <c r="BQ243" s="51"/>
      <c r="BW243" s="51"/>
      <c r="BX243" s="51"/>
      <c r="CD243" s="51"/>
      <c r="CE243" s="51"/>
      <c r="CK243" s="51"/>
      <c r="CL243" s="51"/>
      <c r="CR243" s="51"/>
      <c r="CS243" s="51"/>
      <c r="CY243" s="51"/>
      <c r="CZ243" s="51"/>
      <c r="DF243" s="51"/>
      <c r="DG243" s="51"/>
      <c r="DM243" s="51"/>
      <c r="DN243" s="51"/>
      <c r="DT243" s="51"/>
      <c r="DU243" s="51"/>
      <c r="EA243" s="51"/>
      <c r="EB243" s="51"/>
      <c r="EH243" s="51"/>
      <c r="EI243" s="51"/>
      <c r="EO243" s="51"/>
      <c r="EP243" s="51"/>
      <c r="EV243" s="51"/>
      <c r="EW243" s="51"/>
      <c r="FC243" s="51"/>
      <c r="FD243" s="51"/>
      <c r="FJ243" s="51"/>
      <c r="FK243" s="51"/>
      <c r="FQ243" s="51"/>
      <c r="FR243" s="51"/>
      <c r="FX243" s="51"/>
      <c r="FY243" s="51"/>
      <c r="GE243" s="51"/>
      <c r="GF243" s="51"/>
      <c r="GL243" s="51"/>
      <c r="GM243" s="51"/>
      <c r="GS243" s="51"/>
      <c r="GT243" s="51"/>
      <c r="GZ243" s="51"/>
      <c r="HA243" s="51"/>
      <c r="HG243" s="51"/>
      <c r="HH243" s="51"/>
      <c r="HN243" s="51"/>
      <c r="HO243" s="51"/>
    </row>
    <row r="244" customFormat="false" ht="15" hidden="false" customHeight="false" outlineLevel="0" collapsed="false">
      <c r="A244" s="0" t="str">
        <f aca="false">'Schedule Engine'!B243</f>
        <v>IW15</v>
      </c>
      <c r="B244" s="0" t="str">
        <f aca="false">'Schedule Engine'!E243</f>
        <v>Lawn Seeding</v>
      </c>
      <c r="C244" s="0" t="str">
        <f aca="false">'Schedule Engine'!F243</f>
        <v>TruGreen</v>
      </c>
      <c r="D244" s="0" t="n">
        <f aca="false">'Schedule Engine'!G243</f>
        <v>0</v>
      </c>
      <c r="E244" s="34" t="n">
        <f aca="false">'Schedule Engine'!N243</f>
        <v>46360</v>
      </c>
      <c r="F244" s="34" t="n">
        <f aca="false">'Schedule Engine'!O243</f>
        <v>46363</v>
      </c>
      <c r="G244" s="0" t="n">
        <f aca="false">'Schedule Engine'!K243</f>
        <v>2</v>
      </c>
      <c r="H244" s="0" t="n">
        <f aca="false">'Schedule Engine'!P243</f>
        <v>0</v>
      </c>
      <c r="L244" s="51"/>
      <c r="M244" s="51"/>
      <c r="S244" s="51"/>
      <c r="T244" s="51"/>
      <c r="Z244" s="51"/>
      <c r="AA244" s="51"/>
      <c r="AG244" s="51"/>
      <c r="AH244" s="51"/>
      <c r="AN244" s="51"/>
      <c r="AO244" s="51"/>
      <c r="AU244" s="51"/>
      <c r="AV244" s="51"/>
      <c r="BB244" s="51"/>
      <c r="BC244" s="51"/>
      <c r="BI244" s="51"/>
      <c r="BJ244" s="51"/>
      <c r="BP244" s="51"/>
      <c r="BQ244" s="51"/>
      <c r="BW244" s="51"/>
      <c r="BX244" s="51"/>
      <c r="CD244" s="51"/>
      <c r="CE244" s="51"/>
      <c r="CK244" s="51"/>
      <c r="CL244" s="51"/>
      <c r="CR244" s="51"/>
      <c r="CS244" s="51"/>
      <c r="CY244" s="51"/>
      <c r="CZ244" s="51"/>
      <c r="DF244" s="51"/>
      <c r="DG244" s="51"/>
      <c r="DM244" s="51"/>
      <c r="DN244" s="51"/>
      <c r="DT244" s="51"/>
      <c r="DU244" s="51"/>
      <c r="EA244" s="51"/>
      <c r="EB244" s="51"/>
      <c r="EH244" s="51"/>
      <c r="EI244" s="51"/>
      <c r="EO244" s="51"/>
      <c r="EP244" s="51"/>
      <c r="EV244" s="51"/>
      <c r="EW244" s="51"/>
      <c r="FC244" s="51"/>
      <c r="FD244" s="51"/>
      <c r="FJ244" s="51"/>
      <c r="FK244" s="51"/>
      <c r="FQ244" s="51"/>
      <c r="FR244" s="51"/>
      <c r="FX244" s="51"/>
      <c r="FY244" s="51"/>
      <c r="GE244" s="51"/>
      <c r="GF244" s="51"/>
      <c r="GL244" s="51"/>
      <c r="GM244" s="51"/>
      <c r="GS244" s="51"/>
      <c r="GT244" s="51"/>
      <c r="GZ244" s="51"/>
      <c r="HA244" s="51"/>
      <c r="HG244" s="51"/>
      <c r="HH244" s="51"/>
      <c r="HN244" s="51"/>
      <c r="HO244" s="51"/>
    </row>
    <row r="245" customFormat="false" ht="15" hidden="false" customHeight="false" outlineLevel="0" collapsed="false">
      <c r="A245" s="0" t="str">
        <f aca="false">'Schedule Engine'!B244</f>
        <v>IW15</v>
      </c>
      <c r="B245" s="0" t="str">
        <f aca="false">'Schedule Engine'!E244</f>
        <v>Gutter drains</v>
      </c>
      <c r="C245" s="0" t="n">
        <f aca="false">'Schedule Engine'!F244</f>
        <v>0</v>
      </c>
      <c r="D245" s="0" t="n">
        <f aca="false">'Schedule Engine'!G244</f>
        <v>0</v>
      </c>
      <c r="E245" s="34" t="n">
        <f aca="false">'Schedule Engine'!N244</f>
        <v>46356</v>
      </c>
      <c r="F245" s="34" t="n">
        <f aca="false">'Schedule Engine'!O244</f>
        <v>46357</v>
      </c>
      <c r="G245" s="0" t="n">
        <f aca="false">'Schedule Engine'!K244</f>
        <v>2</v>
      </c>
      <c r="H245" s="0" t="n">
        <f aca="false">'Schedule Engine'!P244</f>
        <v>0</v>
      </c>
      <c r="L245" s="51"/>
      <c r="M245" s="51"/>
      <c r="S245" s="51"/>
      <c r="T245" s="51"/>
      <c r="Z245" s="51"/>
      <c r="AA245" s="51"/>
      <c r="AG245" s="51"/>
      <c r="AH245" s="51"/>
      <c r="AN245" s="51"/>
      <c r="AO245" s="51"/>
      <c r="AU245" s="51"/>
      <c r="AV245" s="51"/>
      <c r="BB245" s="51"/>
      <c r="BC245" s="51"/>
      <c r="BI245" s="51"/>
      <c r="BJ245" s="51"/>
      <c r="BP245" s="51"/>
      <c r="BQ245" s="51"/>
      <c r="BW245" s="51"/>
      <c r="BX245" s="51"/>
      <c r="CD245" s="51"/>
      <c r="CE245" s="51"/>
      <c r="CK245" s="51"/>
      <c r="CL245" s="51"/>
      <c r="CR245" s="51"/>
      <c r="CS245" s="51"/>
      <c r="CY245" s="51"/>
      <c r="CZ245" s="51"/>
      <c r="DF245" s="51"/>
      <c r="DG245" s="51"/>
      <c r="DM245" s="51"/>
      <c r="DN245" s="51"/>
      <c r="DT245" s="51"/>
      <c r="DU245" s="51"/>
      <c r="EA245" s="51"/>
      <c r="EB245" s="51"/>
      <c r="EH245" s="51"/>
      <c r="EI245" s="51"/>
      <c r="EO245" s="51"/>
      <c r="EP245" s="51"/>
      <c r="EV245" s="51"/>
      <c r="EW245" s="51"/>
      <c r="FC245" s="51"/>
      <c r="FD245" s="51"/>
      <c r="FJ245" s="51"/>
      <c r="FK245" s="51"/>
      <c r="FQ245" s="51"/>
      <c r="FR245" s="51"/>
      <c r="FX245" s="51"/>
      <c r="FY245" s="51"/>
      <c r="GE245" s="51"/>
      <c r="GF245" s="51"/>
      <c r="GL245" s="51"/>
      <c r="GM245" s="51"/>
      <c r="GS245" s="51"/>
      <c r="GT245" s="51"/>
      <c r="GZ245" s="51"/>
      <c r="HA245" s="51"/>
      <c r="HG245" s="51"/>
      <c r="HH245" s="51"/>
      <c r="HN245" s="51"/>
      <c r="HO245" s="51"/>
    </row>
    <row r="246" customFormat="false" ht="15" hidden="false" customHeight="false" outlineLevel="0" collapsed="false">
      <c r="A246" s="0" t="str">
        <f aca="false">'Schedule Engine'!B245</f>
        <v>IW15</v>
      </c>
      <c r="B246" s="0" t="str">
        <f aca="false">'Schedule Engine'!E245</f>
        <v>HVAC Rough</v>
      </c>
      <c r="C246" s="0" t="str">
        <f aca="false">'Schedule Engine'!F245</f>
        <v>Adco</v>
      </c>
      <c r="D246" s="0" t="n">
        <f aca="false">'Schedule Engine'!G245</f>
        <v>0</v>
      </c>
      <c r="E246" s="34" t="n">
        <f aca="false">'Schedule Engine'!N245</f>
        <v>46318</v>
      </c>
      <c r="F246" s="34" t="n">
        <f aca="false">'Schedule Engine'!O245</f>
        <v>46324</v>
      </c>
      <c r="G246" s="0" t="n">
        <f aca="false">'Schedule Engine'!K245</f>
        <v>5</v>
      </c>
      <c r="H246" s="0" t="n">
        <f aca="false">'Schedule Engine'!P245</f>
        <v>0</v>
      </c>
      <c r="L246" s="51"/>
      <c r="M246" s="51"/>
      <c r="S246" s="51"/>
      <c r="T246" s="51"/>
      <c r="Z246" s="51"/>
      <c r="AA246" s="51"/>
      <c r="AG246" s="51"/>
      <c r="AH246" s="51"/>
      <c r="AN246" s="51"/>
      <c r="AO246" s="51"/>
      <c r="AU246" s="51"/>
      <c r="AV246" s="51"/>
      <c r="BB246" s="51"/>
      <c r="BC246" s="51"/>
      <c r="BI246" s="51"/>
      <c r="BJ246" s="51"/>
      <c r="BP246" s="51"/>
      <c r="BQ246" s="51"/>
      <c r="BW246" s="51"/>
      <c r="BX246" s="51"/>
      <c r="CD246" s="51"/>
      <c r="CE246" s="51"/>
      <c r="CK246" s="51"/>
      <c r="CL246" s="51"/>
      <c r="CR246" s="51"/>
      <c r="CS246" s="51"/>
      <c r="CY246" s="51"/>
      <c r="CZ246" s="51"/>
      <c r="DF246" s="51"/>
      <c r="DG246" s="51"/>
      <c r="DM246" s="51"/>
      <c r="DN246" s="51"/>
      <c r="DT246" s="51"/>
      <c r="DU246" s="51"/>
      <c r="EA246" s="51"/>
      <c r="EB246" s="51"/>
      <c r="EH246" s="51"/>
      <c r="EI246" s="51"/>
      <c r="EO246" s="51"/>
      <c r="EP246" s="51"/>
      <c r="EV246" s="51"/>
      <c r="EW246" s="51"/>
      <c r="FC246" s="51"/>
      <c r="FD246" s="51"/>
      <c r="FJ246" s="51"/>
      <c r="FK246" s="51"/>
      <c r="FQ246" s="51"/>
      <c r="FR246" s="51"/>
      <c r="FX246" s="51"/>
      <c r="FY246" s="51"/>
      <c r="GE246" s="51"/>
      <c r="GF246" s="51"/>
      <c r="GL246" s="51"/>
      <c r="GM246" s="51"/>
      <c r="GS246" s="51"/>
      <c r="GT246" s="51"/>
      <c r="GZ246" s="51"/>
      <c r="HA246" s="51"/>
      <c r="HG246" s="51"/>
      <c r="HH246" s="51"/>
      <c r="HN246" s="51"/>
      <c r="HO246" s="51"/>
    </row>
    <row r="247" customFormat="false" ht="15" hidden="false" customHeight="false" outlineLevel="0" collapsed="false">
      <c r="A247" s="0" t="str">
        <f aca="false">'Schedule Engine'!B246</f>
        <v>IW15</v>
      </c>
      <c r="B247" s="0" t="str">
        <f aca="false">'Schedule Engine'!E246</f>
        <v>Plumbing Rough</v>
      </c>
      <c r="C247" s="0" t="str">
        <f aca="false">'Schedule Engine'!F246</f>
        <v>Hays</v>
      </c>
      <c r="D247" s="0" t="str">
        <f aca="false">'Schedule Engine'!G246</f>
        <v>Hays</v>
      </c>
      <c r="E247" s="34" t="n">
        <f aca="false">'Schedule Engine'!N246</f>
        <v>46318</v>
      </c>
      <c r="F247" s="34" t="n">
        <f aca="false">'Schedule Engine'!O246</f>
        <v>46324</v>
      </c>
      <c r="G247" s="0" t="n">
        <f aca="false">'Schedule Engine'!K246</f>
        <v>5</v>
      </c>
      <c r="H247" s="0" t="n">
        <f aca="false">'Schedule Engine'!P246</f>
        <v>0</v>
      </c>
      <c r="L247" s="51"/>
      <c r="M247" s="51"/>
      <c r="S247" s="51"/>
      <c r="T247" s="51"/>
      <c r="Z247" s="51"/>
      <c r="AA247" s="51"/>
      <c r="AG247" s="51"/>
      <c r="AH247" s="51"/>
      <c r="AN247" s="51"/>
      <c r="AO247" s="51"/>
      <c r="AU247" s="51"/>
      <c r="AV247" s="51"/>
      <c r="BB247" s="51"/>
      <c r="BC247" s="51"/>
      <c r="BI247" s="51"/>
      <c r="BJ247" s="51"/>
      <c r="BP247" s="51"/>
      <c r="BQ247" s="51"/>
      <c r="BW247" s="51"/>
      <c r="BX247" s="51"/>
      <c r="CD247" s="51"/>
      <c r="CE247" s="51"/>
      <c r="CK247" s="51"/>
      <c r="CL247" s="51"/>
      <c r="CR247" s="51"/>
      <c r="CS247" s="51"/>
      <c r="CY247" s="51"/>
      <c r="CZ247" s="51"/>
      <c r="DF247" s="51"/>
      <c r="DG247" s="51"/>
      <c r="DM247" s="51"/>
      <c r="DN247" s="51"/>
      <c r="DT247" s="51"/>
      <c r="DU247" s="51"/>
      <c r="EA247" s="51"/>
      <c r="EB247" s="51"/>
      <c r="EH247" s="51"/>
      <c r="EI247" s="51"/>
      <c r="EO247" s="51"/>
      <c r="EP247" s="51"/>
      <c r="EV247" s="51"/>
      <c r="EW247" s="51"/>
      <c r="FC247" s="51"/>
      <c r="FD247" s="51"/>
      <c r="FJ247" s="51"/>
      <c r="FK247" s="51"/>
      <c r="FQ247" s="51"/>
      <c r="FR247" s="51"/>
      <c r="FX247" s="51"/>
      <c r="FY247" s="51"/>
      <c r="GE247" s="51"/>
      <c r="GF247" s="51"/>
      <c r="GL247" s="51"/>
      <c r="GM247" s="51"/>
      <c r="GS247" s="51"/>
      <c r="GT247" s="51"/>
      <c r="GZ247" s="51"/>
      <c r="HA247" s="51"/>
      <c r="HG247" s="51"/>
      <c r="HH247" s="51"/>
      <c r="HN247" s="51"/>
      <c r="HO247" s="51"/>
    </row>
    <row r="248" customFormat="false" ht="15" hidden="false" customHeight="false" outlineLevel="0" collapsed="false">
      <c r="A248" s="0" t="str">
        <f aca="false">'Schedule Engine'!B247</f>
        <v>IW15</v>
      </c>
      <c r="B248" s="0" t="str">
        <f aca="false">'Schedule Engine'!E247</f>
        <v>Electrical Rough</v>
      </c>
      <c r="C248" s="0" t="str">
        <f aca="false">'Schedule Engine'!F247</f>
        <v>Dave Kaler</v>
      </c>
      <c r="D248" s="0" t="n">
        <f aca="false">'Schedule Engine'!G247</f>
        <v>0</v>
      </c>
      <c r="E248" s="34" t="n">
        <f aca="false">'Schedule Engine'!N247</f>
        <v>46318</v>
      </c>
      <c r="F248" s="34" t="n">
        <f aca="false">'Schedule Engine'!O247</f>
        <v>46331</v>
      </c>
      <c r="G248" s="0" t="n">
        <f aca="false">'Schedule Engine'!K247</f>
        <v>10</v>
      </c>
      <c r="H248" s="0" t="n">
        <f aca="false">'Schedule Engine'!P247</f>
        <v>0</v>
      </c>
      <c r="L248" s="51"/>
      <c r="M248" s="51"/>
      <c r="S248" s="51"/>
      <c r="T248" s="51"/>
      <c r="Z248" s="51"/>
      <c r="AA248" s="51"/>
      <c r="AG248" s="51"/>
      <c r="AH248" s="51"/>
      <c r="AN248" s="51"/>
      <c r="AO248" s="51"/>
      <c r="AU248" s="51"/>
      <c r="AV248" s="51"/>
      <c r="BB248" s="51"/>
      <c r="BC248" s="51"/>
      <c r="BI248" s="51"/>
      <c r="BJ248" s="51"/>
      <c r="BP248" s="51"/>
      <c r="BQ248" s="51"/>
      <c r="BW248" s="51"/>
      <c r="BX248" s="51"/>
      <c r="CD248" s="51"/>
      <c r="CE248" s="51"/>
      <c r="CK248" s="51"/>
      <c r="CL248" s="51"/>
      <c r="CR248" s="51"/>
      <c r="CS248" s="51"/>
      <c r="CY248" s="51"/>
      <c r="CZ248" s="51"/>
      <c r="DF248" s="51"/>
      <c r="DG248" s="51"/>
      <c r="DM248" s="51"/>
      <c r="DN248" s="51"/>
      <c r="DT248" s="51"/>
      <c r="DU248" s="51"/>
      <c r="EA248" s="51"/>
      <c r="EB248" s="51"/>
      <c r="EH248" s="51"/>
      <c r="EI248" s="51"/>
      <c r="EO248" s="51"/>
      <c r="EP248" s="51"/>
      <c r="EV248" s="51"/>
      <c r="EW248" s="51"/>
      <c r="FC248" s="51"/>
      <c r="FD248" s="51"/>
      <c r="FJ248" s="51"/>
      <c r="FK248" s="51"/>
      <c r="FQ248" s="51"/>
      <c r="FR248" s="51"/>
      <c r="FX248" s="51"/>
      <c r="FY248" s="51"/>
      <c r="GE248" s="51"/>
      <c r="GF248" s="51"/>
      <c r="GL248" s="51"/>
      <c r="GM248" s="51"/>
      <c r="GS248" s="51"/>
      <c r="GT248" s="51"/>
      <c r="GZ248" s="51"/>
      <c r="HA248" s="51"/>
      <c r="HG248" s="51"/>
      <c r="HH248" s="51"/>
      <c r="HN248" s="51"/>
      <c r="HO248" s="51"/>
    </row>
    <row r="249" customFormat="false" ht="15" hidden="false" customHeight="false" outlineLevel="0" collapsed="false">
      <c r="A249" s="0" t="str">
        <f aca="false">'Schedule Engine'!B248</f>
        <v>IW15</v>
      </c>
      <c r="B249" s="0" t="str">
        <f aca="false">'Schedule Engine'!E248</f>
        <v>Insulation Walls</v>
      </c>
      <c r="C249" s="0" t="str">
        <f aca="false">'Schedule Engine'!F248</f>
        <v>Tyler Champion</v>
      </c>
      <c r="D249" s="0" t="n">
        <f aca="false">'Schedule Engine'!G248</f>
        <v>0</v>
      </c>
      <c r="E249" s="34" t="n">
        <f aca="false">'Schedule Engine'!N248</f>
        <v>46332</v>
      </c>
      <c r="F249" s="34" t="n">
        <f aca="false">'Schedule Engine'!O248</f>
        <v>46335</v>
      </c>
      <c r="G249" s="0" t="n">
        <f aca="false">'Schedule Engine'!K248</f>
        <v>2</v>
      </c>
      <c r="H249" s="0" t="n">
        <f aca="false">'Schedule Engine'!P248</f>
        <v>0</v>
      </c>
      <c r="L249" s="51"/>
      <c r="M249" s="51"/>
      <c r="S249" s="51"/>
      <c r="T249" s="51"/>
      <c r="Z249" s="51"/>
      <c r="AA249" s="51"/>
      <c r="AG249" s="51"/>
      <c r="AH249" s="51"/>
      <c r="AN249" s="51"/>
      <c r="AO249" s="51"/>
      <c r="AU249" s="51"/>
      <c r="AV249" s="51"/>
      <c r="BB249" s="51"/>
      <c r="BC249" s="51"/>
      <c r="BI249" s="51"/>
      <c r="BJ249" s="51"/>
      <c r="BP249" s="51"/>
      <c r="BQ249" s="51"/>
      <c r="BW249" s="51"/>
      <c r="BX249" s="51"/>
      <c r="CD249" s="51"/>
      <c r="CE249" s="51"/>
      <c r="CK249" s="51"/>
      <c r="CL249" s="51"/>
      <c r="CR249" s="51"/>
      <c r="CS249" s="51"/>
      <c r="CY249" s="51"/>
      <c r="CZ249" s="51"/>
      <c r="DF249" s="51"/>
      <c r="DG249" s="51"/>
      <c r="DM249" s="51"/>
      <c r="DN249" s="51"/>
      <c r="DT249" s="51"/>
      <c r="DU249" s="51"/>
      <c r="EA249" s="51"/>
      <c r="EB249" s="51"/>
      <c r="EH249" s="51"/>
      <c r="EI249" s="51"/>
      <c r="EO249" s="51"/>
      <c r="EP249" s="51"/>
      <c r="EV249" s="51"/>
      <c r="EW249" s="51"/>
      <c r="FC249" s="51"/>
      <c r="FD249" s="51"/>
      <c r="FJ249" s="51"/>
      <c r="FK249" s="51"/>
      <c r="FQ249" s="51"/>
      <c r="FR249" s="51"/>
      <c r="FX249" s="51"/>
      <c r="FY249" s="51"/>
      <c r="GE249" s="51"/>
      <c r="GF249" s="51"/>
      <c r="GL249" s="51"/>
      <c r="GM249" s="51"/>
      <c r="GS249" s="51"/>
      <c r="GT249" s="51"/>
      <c r="GZ249" s="51"/>
      <c r="HA249" s="51"/>
      <c r="HG249" s="51"/>
      <c r="HH249" s="51"/>
      <c r="HN249" s="51"/>
      <c r="HO249" s="51"/>
    </row>
    <row r="250" customFormat="false" ht="15" hidden="false" customHeight="false" outlineLevel="0" collapsed="false">
      <c r="A250" s="0" t="str">
        <f aca="false">'Schedule Engine'!B249</f>
        <v>IW15</v>
      </c>
      <c r="B250" s="0" t="str">
        <f aca="false">'Schedule Engine'!E249</f>
        <v>Sheetrock</v>
      </c>
      <c r="C250" s="0" t="str">
        <f aca="false">'Schedule Engine'!F249</f>
        <v>Bernall Constr.</v>
      </c>
      <c r="D250" s="0" t="n">
        <f aca="false">'Schedule Engine'!G249</f>
        <v>0</v>
      </c>
      <c r="E250" s="34" t="n">
        <f aca="false">'Schedule Engine'!N249</f>
        <v>46336</v>
      </c>
      <c r="F250" s="34" t="n">
        <f aca="false">'Schedule Engine'!O249</f>
        <v>46356</v>
      </c>
      <c r="G250" s="0" t="n">
        <f aca="false">'Schedule Engine'!K249</f>
        <v>15</v>
      </c>
      <c r="H250" s="0" t="n">
        <f aca="false">'Schedule Engine'!P249</f>
        <v>0</v>
      </c>
      <c r="L250" s="51"/>
      <c r="M250" s="51"/>
      <c r="S250" s="51"/>
      <c r="T250" s="51"/>
      <c r="Z250" s="51"/>
      <c r="AA250" s="51"/>
      <c r="AG250" s="51"/>
      <c r="AH250" s="51"/>
      <c r="AN250" s="51"/>
      <c r="AO250" s="51"/>
      <c r="AU250" s="51"/>
      <c r="AV250" s="51"/>
      <c r="BB250" s="51"/>
      <c r="BC250" s="51"/>
      <c r="BI250" s="51"/>
      <c r="BJ250" s="51"/>
      <c r="BP250" s="51"/>
      <c r="BQ250" s="51"/>
      <c r="BW250" s="51"/>
      <c r="BX250" s="51"/>
      <c r="CD250" s="51"/>
      <c r="CE250" s="51"/>
      <c r="CK250" s="51"/>
      <c r="CL250" s="51"/>
      <c r="CR250" s="51"/>
      <c r="CS250" s="51"/>
      <c r="CY250" s="51"/>
      <c r="CZ250" s="51"/>
      <c r="DF250" s="51"/>
      <c r="DG250" s="51"/>
      <c r="DM250" s="51"/>
      <c r="DN250" s="51"/>
      <c r="DT250" s="51"/>
      <c r="DU250" s="51"/>
      <c r="EA250" s="51"/>
      <c r="EB250" s="51"/>
      <c r="EH250" s="51"/>
      <c r="EI250" s="51"/>
      <c r="EO250" s="51"/>
      <c r="EP250" s="51"/>
      <c r="EV250" s="51"/>
      <c r="EW250" s="51"/>
      <c r="FC250" s="51"/>
      <c r="FD250" s="51"/>
      <c r="FJ250" s="51"/>
      <c r="FK250" s="51"/>
      <c r="FQ250" s="51"/>
      <c r="FR250" s="51"/>
      <c r="FX250" s="51"/>
      <c r="FY250" s="51"/>
      <c r="GE250" s="51"/>
      <c r="GF250" s="51"/>
      <c r="GL250" s="51"/>
      <c r="GM250" s="51"/>
      <c r="GS250" s="51"/>
      <c r="GT250" s="51"/>
      <c r="GZ250" s="51"/>
      <c r="HA250" s="51"/>
      <c r="HG250" s="51"/>
      <c r="HH250" s="51"/>
      <c r="HN250" s="51"/>
      <c r="HO250" s="51"/>
    </row>
    <row r="251" customFormat="false" ht="15" hidden="false" customHeight="false" outlineLevel="0" collapsed="false">
      <c r="A251" s="0" t="str">
        <f aca="false">'Schedule Engine'!B250</f>
        <v>IW15</v>
      </c>
      <c r="B251" s="0" t="str">
        <f aca="false">'Schedule Engine'!E250</f>
        <v>Painting Primer</v>
      </c>
      <c r="C251" s="0" t="str">
        <f aca="false">'Schedule Engine'!F250</f>
        <v>L&amp;L Painting</v>
      </c>
      <c r="D251" s="0" t="n">
        <f aca="false">'Schedule Engine'!G250</f>
        <v>0</v>
      </c>
      <c r="E251" s="34" t="n">
        <f aca="false">'Schedule Engine'!N250</f>
        <v>46357</v>
      </c>
      <c r="F251" s="34" t="n">
        <f aca="false">'Schedule Engine'!O250</f>
        <v>46359</v>
      </c>
      <c r="G251" s="0" t="n">
        <f aca="false">'Schedule Engine'!K250</f>
        <v>3</v>
      </c>
      <c r="H251" s="0" t="n">
        <f aca="false">'Schedule Engine'!P250</f>
        <v>0</v>
      </c>
      <c r="L251" s="51"/>
      <c r="M251" s="51"/>
      <c r="S251" s="51"/>
      <c r="T251" s="51"/>
      <c r="Z251" s="51"/>
      <c r="AA251" s="51"/>
      <c r="AG251" s="51"/>
      <c r="AH251" s="51"/>
      <c r="AN251" s="51"/>
      <c r="AO251" s="51"/>
      <c r="AU251" s="51"/>
      <c r="AV251" s="51"/>
      <c r="BB251" s="51"/>
      <c r="BC251" s="51"/>
      <c r="BI251" s="51"/>
      <c r="BJ251" s="51"/>
      <c r="BP251" s="51"/>
      <c r="BQ251" s="51"/>
      <c r="BW251" s="51"/>
      <c r="BX251" s="51"/>
      <c r="CD251" s="51"/>
      <c r="CE251" s="51"/>
      <c r="CK251" s="51"/>
      <c r="CL251" s="51"/>
      <c r="CR251" s="51"/>
      <c r="CS251" s="51"/>
      <c r="CY251" s="51"/>
      <c r="CZ251" s="51"/>
      <c r="DF251" s="51"/>
      <c r="DG251" s="51"/>
      <c r="DM251" s="51"/>
      <c r="DN251" s="51"/>
      <c r="DT251" s="51"/>
      <c r="DU251" s="51"/>
      <c r="EA251" s="51"/>
      <c r="EB251" s="51"/>
      <c r="EH251" s="51"/>
      <c r="EI251" s="51"/>
      <c r="EO251" s="51"/>
      <c r="EP251" s="51"/>
      <c r="EV251" s="51"/>
      <c r="EW251" s="51"/>
      <c r="FC251" s="51"/>
      <c r="FD251" s="51"/>
      <c r="FJ251" s="51"/>
      <c r="FK251" s="51"/>
      <c r="FQ251" s="51"/>
      <c r="FR251" s="51"/>
      <c r="FX251" s="51"/>
      <c r="FY251" s="51"/>
      <c r="GE251" s="51"/>
      <c r="GF251" s="51"/>
      <c r="GL251" s="51"/>
      <c r="GM251" s="51"/>
      <c r="GS251" s="51"/>
      <c r="GT251" s="51"/>
      <c r="GZ251" s="51"/>
      <c r="HA251" s="51"/>
      <c r="HG251" s="51"/>
      <c r="HH251" s="51"/>
      <c r="HN251" s="51"/>
      <c r="HO251" s="51"/>
    </row>
    <row r="252" customFormat="false" ht="15" hidden="false" customHeight="false" outlineLevel="0" collapsed="false">
      <c r="A252" s="0" t="str">
        <f aca="false">'Schedule Engine'!B251</f>
        <v>IW15</v>
      </c>
      <c r="B252" s="0" t="str">
        <f aca="false">'Schedule Engine'!E251</f>
        <v>Garage Doors</v>
      </c>
      <c r="C252" s="0" t="str">
        <f aca="false">'Schedule Engine'!F251</f>
        <v>Danny Liedecher</v>
      </c>
      <c r="D252" s="0" t="n">
        <f aca="false">'Schedule Engine'!G251</f>
        <v>0</v>
      </c>
      <c r="E252" s="34" t="n">
        <f aca="false">'Schedule Engine'!N251</f>
        <v>46360</v>
      </c>
      <c r="F252" s="34" t="n">
        <f aca="false">'Schedule Engine'!O251</f>
        <v>46363</v>
      </c>
      <c r="G252" s="0" t="n">
        <f aca="false">'Schedule Engine'!K251</f>
        <v>2</v>
      </c>
      <c r="H252" s="0" t="n">
        <f aca="false">'Schedule Engine'!P251</f>
        <v>0</v>
      </c>
      <c r="L252" s="51"/>
      <c r="M252" s="51"/>
      <c r="S252" s="51"/>
      <c r="T252" s="51"/>
      <c r="Z252" s="51"/>
      <c r="AA252" s="51"/>
      <c r="AG252" s="51"/>
      <c r="AH252" s="51"/>
      <c r="AN252" s="51"/>
      <c r="AO252" s="51"/>
      <c r="AU252" s="51"/>
      <c r="AV252" s="51"/>
      <c r="BB252" s="51"/>
      <c r="BC252" s="51"/>
      <c r="BI252" s="51"/>
      <c r="BJ252" s="51"/>
      <c r="BP252" s="51"/>
      <c r="BQ252" s="51"/>
      <c r="BW252" s="51"/>
      <c r="BX252" s="51"/>
      <c r="CD252" s="51"/>
      <c r="CE252" s="51"/>
      <c r="CK252" s="51"/>
      <c r="CL252" s="51"/>
      <c r="CR252" s="51"/>
      <c r="CS252" s="51"/>
      <c r="CY252" s="51"/>
      <c r="CZ252" s="51"/>
      <c r="DF252" s="51"/>
      <c r="DG252" s="51"/>
      <c r="DM252" s="51"/>
      <c r="DN252" s="51"/>
      <c r="DT252" s="51"/>
      <c r="DU252" s="51"/>
      <c r="EA252" s="51"/>
      <c r="EB252" s="51"/>
      <c r="EH252" s="51"/>
      <c r="EI252" s="51"/>
      <c r="EO252" s="51"/>
      <c r="EP252" s="51"/>
      <c r="EV252" s="51"/>
      <c r="EW252" s="51"/>
      <c r="FC252" s="51"/>
      <c r="FD252" s="51"/>
      <c r="FJ252" s="51"/>
      <c r="FK252" s="51"/>
      <c r="FQ252" s="51"/>
      <c r="FR252" s="51"/>
      <c r="FX252" s="51"/>
      <c r="FY252" s="51"/>
      <c r="GE252" s="51"/>
      <c r="GF252" s="51"/>
      <c r="GL252" s="51"/>
      <c r="GM252" s="51"/>
      <c r="GS252" s="51"/>
      <c r="GT252" s="51"/>
      <c r="GZ252" s="51"/>
      <c r="HA252" s="51"/>
      <c r="HG252" s="51"/>
      <c r="HH252" s="51"/>
      <c r="HN252" s="51"/>
      <c r="HO252" s="51"/>
    </row>
    <row r="253" customFormat="false" ht="15" hidden="false" customHeight="false" outlineLevel="0" collapsed="false">
      <c r="A253" s="0" t="str">
        <f aca="false">'Schedule Engine'!B252</f>
        <v>IW15</v>
      </c>
      <c r="B253" s="0" t="str">
        <f aca="false">'Schedule Engine'!E252</f>
        <v>Flooring</v>
      </c>
      <c r="C253" s="0" t="str">
        <f aca="false">'Schedule Engine'!F252</f>
        <v>LW Contracting</v>
      </c>
      <c r="D253" s="0" t="n">
        <f aca="false">'Schedule Engine'!G252</f>
        <v>0</v>
      </c>
      <c r="E253" s="34" t="n">
        <f aca="false">'Schedule Engine'!N252</f>
        <v>46360</v>
      </c>
      <c r="F253" s="34" t="n">
        <f aca="false">'Schedule Engine'!O252</f>
        <v>46366</v>
      </c>
      <c r="G253" s="0" t="n">
        <f aca="false">'Schedule Engine'!K252</f>
        <v>5</v>
      </c>
      <c r="H253" s="0" t="n">
        <f aca="false">'Schedule Engine'!P252</f>
        <v>0</v>
      </c>
      <c r="L253" s="51"/>
      <c r="M253" s="51"/>
      <c r="S253" s="51"/>
      <c r="T253" s="51"/>
      <c r="Z253" s="51"/>
      <c r="AA253" s="51"/>
      <c r="AG253" s="51"/>
      <c r="AH253" s="51"/>
      <c r="AN253" s="51"/>
      <c r="AO253" s="51"/>
      <c r="AU253" s="51"/>
      <c r="AV253" s="51"/>
      <c r="BB253" s="51"/>
      <c r="BC253" s="51"/>
      <c r="BI253" s="51"/>
      <c r="BJ253" s="51"/>
      <c r="BP253" s="51"/>
      <c r="BQ253" s="51"/>
      <c r="BW253" s="51"/>
      <c r="BX253" s="51"/>
      <c r="CD253" s="51"/>
      <c r="CE253" s="51"/>
      <c r="CK253" s="51"/>
      <c r="CL253" s="51"/>
      <c r="CR253" s="51"/>
      <c r="CS253" s="51"/>
      <c r="CY253" s="51"/>
      <c r="CZ253" s="51"/>
      <c r="DF253" s="51"/>
      <c r="DG253" s="51"/>
      <c r="DM253" s="51"/>
      <c r="DN253" s="51"/>
      <c r="DT253" s="51"/>
      <c r="DU253" s="51"/>
      <c r="EA253" s="51"/>
      <c r="EB253" s="51"/>
      <c r="EH253" s="51"/>
      <c r="EI253" s="51"/>
      <c r="EO253" s="51"/>
      <c r="EP253" s="51"/>
      <c r="EV253" s="51"/>
      <c r="EW253" s="51"/>
      <c r="FC253" s="51"/>
      <c r="FD253" s="51"/>
      <c r="FJ253" s="51"/>
      <c r="FK253" s="51"/>
      <c r="FQ253" s="51"/>
      <c r="FR253" s="51"/>
      <c r="FX253" s="51"/>
      <c r="FY253" s="51"/>
      <c r="GE253" s="51"/>
      <c r="GF253" s="51"/>
      <c r="GL253" s="51"/>
      <c r="GM253" s="51"/>
      <c r="GS253" s="51"/>
      <c r="GT253" s="51"/>
      <c r="GZ253" s="51"/>
      <c r="HA253" s="51"/>
      <c r="HG253" s="51"/>
      <c r="HH253" s="51"/>
      <c r="HN253" s="51"/>
      <c r="HO253" s="51"/>
    </row>
    <row r="254" customFormat="false" ht="15" hidden="false" customHeight="false" outlineLevel="0" collapsed="false">
      <c r="A254" s="0" t="str">
        <f aca="false">'Schedule Engine'!B253</f>
        <v>IW15</v>
      </c>
      <c r="B254" s="0" t="str">
        <f aca="false">'Schedule Engine'!E253</f>
        <v>Tile Work</v>
      </c>
      <c r="C254" s="0" t="str">
        <f aca="false">'Schedule Engine'!F253</f>
        <v>LW Contracting</v>
      </c>
      <c r="D254" s="0" t="n">
        <f aca="false">'Schedule Engine'!G253</f>
        <v>0</v>
      </c>
      <c r="E254" s="34" t="n">
        <f aca="false">'Schedule Engine'!N253</f>
        <v>46360</v>
      </c>
      <c r="F254" s="34" t="n">
        <f aca="false">'Schedule Engine'!O253</f>
        <v>46371</v>
      </c>
      <c r="G254" s="0" t="n">
        <f aca="false">'Schedule Engine'!K253</f>
        <v>8</v>
      </c>
      <c r="H254" s="0" t="n">
        <f aca="false">'Schedule Engine'!P253</f>
        <v>0</v>
      </c>
      <c r="L254" s="51"/>
      <c r="M254" s="51"/>
      <c r="S254" s="51"/>
      <c r="T254" s="51"/>
      <c r="Z254" s="51"/>
      <c r="AA254" s="51"/>
      <c r="AG254" s="51"/>
      <c r="AH254" s="51"/>
      <c r="AN254" s="51"/>
      <c r="AO254" s="51"/>
      <c r="AU254" s="51"/>
      <c r="AV254" s="51"/>
      <c r="BB254" s="51"/>
      <c r="BC254" s="51"/>
      <c r="BI254" s="51"/>
      <c r="BJ254" s="51"/>
      <c r="BP254" s="51"/>
      <c r="BQ254" s="51"/>
      <c r="BW254" s="51"/>
      <c r="BX254" s="51"/>
      <c r="CD254" s="51"/>
      <c r="CE254" s="51"/>
      <c r="CK254" s="51"/>
      <c r="CL254" s="51"/>
      <c r="CR254" s="51"/>
      <c r="CS254" s="51"/>
      <c r="CY254" s="51"/>
      <c r="CZ254" s="51"/>
      <c r="DF254" s="51"/>
      <c r="DG254" s="51"/>
      <c r="DM254" s="51"/>
      <c r="DN254" s="51"/>
      <c r="DT254" s="51"/>
      <c r="DU254" s="51"/>
      <c r="EA254" s="51"/>
      <c r="EB254" s="51"/>
      <c r="EH254" s="51"/>
      <c r="EI254" s="51"/>
      <c r="EO254" s="51"/>
      <c r="EP254" s="51"/>
      <c r="EV254" s="51"/>
      <c r="EW254" s="51"/>
      <c r="FC254" s="51"/>
      <c r="FD254" s="51"/>
      <c r="FJ254" s="51"/>
      <c r="FK254" s="51"/>
      <c r="FQ254" s="51"/>
      <c r="FR254" s="51"/>
      <c r="FX254" s="51"/>
      <c r="FY254" s="51"/>
      <c r="GE254" s="51"/>
      <c r="GF254" s="51"/>
      <c r="GL254" s="51"/>
      <c r="GM254" s="51"/>
      <c r="GS254" s="51"/>
      <c r="GT254" s="51"/>
      <c r="GZ254" s="51"/>
      <c r="HA254" s="51"/>
      <c r="HG254" s="51"/>
      <c r="HH254" s="51"/>
      <c r="HN254" s="51"/>
      <c r="HO254" s="51"/>
    </row>
    <row r="255" customFormat="false" ht="15" hidden="false" customHeight="false" outlineLevel="0" collapsed="false">
      <c r="A255" s="0" t="str">
        <f aca="false">'Schedule Engine'!B254</f>
        <v>IW15</v>
      </c>
      <c r="B255" s="0" t="str">
        <f aca="false">'Schedule Engine'!E254</f>
        <v>Trim Interior</v>
      </c>
      <c r="C255" s="0" t="str">
        <f aca="false">'Schedule Engine'!F254</f>
        <v>Matt Thorne</v>
      </c>
      <c r="D255" s="0" t="str">
        <f aca="false">'Schedule Engine'!G254</f>
        <v>Matt Thorne</v>
      </c>
      <c r="E255" s="34" t="n">
        <f aca="false">'Schedule Engine'!N254</f>
        <v>46367</v>
      </c>
      <c r="F255" s="34" t="n">
        <f aca="false">'Schedule Engine'!O254</f>
        <v>46394</v>
      </c>
      <c r="G255" s="0" t="n">
        <f aca="false">'Schedule Engine'!K254</f>
        <v>20</v>
      </c>
      <c r="H255" s="0" t="n">
        <f aca="false">'Schedule Engine'!P254</f>
        <v>0</v>
      </c>
      <c r="L255" s="51"/>
      <c r="M255" s="51"/>
      <c r="S255" s="51"/>
      <c r="T255" s="51"/>
      <c r="Z255" s="51"/>
      <c r="AA255" s="51"/>
      <c r="AG255" s="51"/>
      <c r="AH255" s="51"/>
      <c r="AN255" s="51"/>
      <c r="AO255" s="51"/>
      <c r="AU255" s="51"/>
      <c r="AV255" s="51"/>
      <c r="BB255" s="51"/>
      <c r="BC255" s="51"/>
      <c r="BI255" s="51"/>
      <c r="BJ255" s="51"/>
      <c r="BP255" s="51"/>
      <c r="BQ255" s="51"/>
      <c r="BW255" s="51"/>
      <c r="BX255" s="51"/>
      <c r="CD255" s="51"/>
      <c r="CE255" s="51"/>
      <c r="CK255" s="51"/>
      <c r="CL255" s="51"/>
      <c r="CR255" s="51"/>
      <c r="CS255" s="51"/>
      <c r="CY255" s="51"/>
      <c r="CZ255" s="51"/>
      <c r="DF255" s="51"/>
      <c r="DG255" s="51"/>
      <c r="DM255" s="51"/>
      <c r="DN255" s="51"/>
      <c r="DT255" s="51"/>
      <c r="DU255" s="51"/>
      <c r="EA255" s="51"/>
      <c r="EB255" s="51"/>
      <c r="EH255" s="51"/>
      <c r="EI255" s="51"/>
      <c r="EO255" s="51"/>
      <c r="EP255" s="51"/>
      <c r="EV255" s="51"/>
      <c r="EW255" s="51"/>
      <c r="FC255" s="51"/>
      <c r="FD255" s="51"/>
      <c r="FJ255" s="51"/>
      <c r="FK255" s="51"/>
      <c r="FQ255" s="51"/>
      <c r="FR255" s="51"/>
      <c r="FX255" s="51"/>
      <c r="FY255" s="51"/>
      <c r="GE255" s="51"/>
      <c r="GF255" s="51"/>
      <c r="GL255" s="51"/>
      <c r="GM255" s="51"/>
      <c r="GS255" s="51"/>
      <c r="GT255" s="51"/>
      <c r="GZ255" s="51"/>
      <c r="HA255" s="51"/>
      <c r="HG255" s="51"/>
      <c r="HH255" s="51"/>
      <c r="HN255" s="51"/>
      <c r="HO255" s="51"/>
    </row>
    <row r="256" customFormat="false" ht="15" hidden="false" customHeight="false" outlineLevel="0" collapsed="false">
      <c r="A256" s="0" t="str">
        <f aca="false">'Schedule Engine'!B255</f>
        <v>IW15</v>
      </c>
      <c r="B256" s="0" t="str">
        <f aca="false">'Schedule Engine'!E255</f>
        <v>Trim Exterior</v>
      </c>
      <c r="C256" s="0" t="str">
        <f aca="false">'Schedule Engine'!F255</f>
        <v>Matt Thorne</v>
      </c>
      <c r="D256" s="0" t="str">
        <f aca="false">'Schedule Engine'!G255</f>
        <v>Matt Thorne</v>
      </c>
      <c r="E256" s="34" t="n">
        <f aca="false">'Schedule Engine'!N255</f>
        <v>46352</v>
      </c>
      <c r="F256" s="34" t="n">
        <f aca="false">'Schedule Engine'!O255</f>
        <v>46353</v>
      </c>
      <c r="G256" s="0" t="n">
        <f aca="false">'Schedule Engine'!K255</f>
        <v>2</v>
      </c>
      <c r="H256" s="0" t="n">
        <f aca="false">'Schedule Engine'!P255</f>
        <v>0</v>
      </c>
      <c r="L256" s="51"/>
      <c r="M256" s="51"/>
      <c r="S256" s="51"/>
      <c r="T256" s="51"/>
      <c r="Z256" s="51"/>
      <c r="AA256" s="51"/>
      <c r="AG256" s="51"/>
      <c r="AH256" s="51"/>
      <c r="AN256" s="51"/>
      <c r="AO256" s="51"/>
      <c r="AU256" s="51"/>
      <c r="AV256" s="51"/>
      <c r="BB256" s="51"/>
      <c r="BC256" s="51"/>
      <c r="BI256" s="51"/>
      <c r="BJ256" s="51"/>
      <c r="BP256" s="51"/>
      <c r="BQ256" s="51"/>
      <c r="BW256" s="51"/>
      <c r="BX256" s="51"/>
      <c r="CD256" s="51"/>
      <c r="CE256" s="51"/>
      <c r="CK256" s="51"/>
      <c r="CL256" s="51"/>
      <c r="CR256" s="51"/>
      <c r="CS256" s="51"/>
      <c r="CY256" s="51"/>
      <c r="CZ256" s="51"/>
      <c r="DF256" s="51"/>
      <c r="DG256" s="51"/>
      <c r="DM256" s="51"/>
      <c r="DN256" s="51"/>
      <c r="DT256" s="51"/>
      <c r="DU256" s="51"/>
      <c r="EA256" s="51"/>
      <c r="EB256" s="51"/>
      <c r="EH256" s="51"/>
      <c r="EI256" s="51"/>
      <c r="EO256" s="51"/>
      <c r="EP256" s="51"/>
      <c r="EV256" s="51"/>
      <c r="EW256" s="51"/>
      <c r="FC256" s="51"/>
      <c r="FD256" s="51"/>
      <c r="FJ256" s="51"/>
      <c r="FK256" s="51"/>
      <c r="FQ256" s="51"/>
      <c r="FR256" s="51"/>
      <c r="FX256" s="51"/>
      <c r="FY256" s="51"/>
      <c r="GE256" s="51"/>
      <c r="GF256" s="51"/>
      <c r="GL256" s="51"/>
      <c r="GM256" s="51"/>
      <c r="GS256" s="51"/>
      <c r="GT256" s="51"/>
      <c r="GZ256" s="51"/>
      <c r="HA256" s="51"/>
      <c r="HG256" s="51"/>
      <c r="HH256" s="51"/>
      <c r="HN256" s="51"/>
      <c r="HO256" s="51"/>
    </row>
    <row r="257" customFormat="false" ht="15" hidden="false" customHeight="false" outlineLevel="0" collapsed="false">
      <c r="A257" s="0" t="str">
        <f aca="false">'Schedule Engine'!B256</f>
        <v>IW15</v>
      </c>
      <c r="B257" s="0" t="str">
        <f aca="false">'Schedule Engine'!E256</f>
        <v>Cabinets</v>
      </c>
      <c r="C257" s="0" t="str">
        <f aca="false">'Schedule Engine'!F256</f>
        <v>Whittmer</v>
      </c>
      <c r="D257" s="0" t="n">
        <f aca="false">'Schedule Engine'!G256</f>
        <v>0</v>
      </c>
      <c r="E257" s="34" t="n">
        <f aca="false">'Schedule Engine'!N256</f>
        <v>46367</v>
      </c>
      <c r="F257" s="34" t="n">
        <f aca="false">'Schedule Engine'!O256</f>
        <v>46371</v>
      </c>
      <c r="G257" s="0" t="n">
        <f aca="false">'Schedule Engine'!K256</f>
        <v>3</v>
      </c>
      <c r="H257" s="0" t="n">
        <f aca="false">'Schedule Engine'!P256</f>
        <v>0</v>
      </c>
      <c r="L257" s="51"/>
      <c r="M257" s="51"/>
      <c r="S257" s="51"/>
      <c r="T257" s="51"/>
      <c r="Z257" s="51"/>
      <c r="AA257" s="51"/>
      <c r="AG257" s="51"/>
      <c r="AH257" s="51"/>
      <c r="AN257" s="51"/>
      <c r="AO257" s="51"/>
      <c r="AU257" s="51"/>
      <c r="AV257" s="51"/>
      <c r="BB257" s="51"/>
      <c r="BC257" s="51"/>
      <c r="BI257" s="51"/>
      <c r="BJ257" s="51"/>
      <c r="BP257" s="51"/>
      <c r="BQ257" s="51"/>
      <c r="BW257" s="51"/>
      <c r="BX257" s="51"/>
      <c r="CD257" s="51"/>
      <c r="CE257" s="51"/>
      <c r="CK257" s="51"/>
      <c r="CL257" s="51"/>
      <c r="CR257" s="51"/>
      <c r="CS257" s="51"/>
      <c r="CY257" s="51"/>
      <c r="CZ257" s="51"/>
      <c r="DF257" s="51"/>
      <c r="DG257" s="51"/>
      <c r="DM257" s="51"/>
      <c r="DN257" s="51"/>
      <c r="DT257" s="51"/>
      <c r="DU257" s="51"/>
      <c r="EA257" s="51"/>
      <c r="EB257" s="51"/>
      <c r="EH257" s="51"/>
      <c r="EI257" s="51"/>
      <c r="EO257" s="51"/>
      <c r="EP257" s="51"/>
      <c r="EV257" s="51"/>
      <c r="EW257" s="51"/>
      <c r="FC257" s="51"/>
      <c r="FD257" s="51"/>
      <c r="FJ257" s="51"/>
      <c r="FK257" s="51"/>
      <c r="FQ257" s="51"/>
      <c r="FR257" s="51"/>
      <c r="FX257" s="51"/>
      <c r="FY257" s="51"/>
      <c r="GE257" s="51"/>
      <c r="GF257" s="51"/>
      <c r="GL257" s="51"/>
      <c r="GM257" s="51"/>
      <c r="GS257" s="51"/>
      <c r="GT257" s="51"/>
      <c r="GZ257" s="51"/>
      <c r="HA257" s="51"/>
      <c r="HG257" s="51"/>
      <c r="HH257" s="51"/>
      <c r="HN257" s="51"/>
      <c r="HO257" s="51"/>
    </row>
    <row r="258" customFormat="false" ht="15" hidden="false" customHeight="false" outlineLevel="0" collapsed="false">
      <c r="A258" s="0" t="str">
        <f aca="false">'Schedule Engine'!B257</f>
        <v>IW15</v>
      </c>
      <c r="B258" s="0" t="str">
        <f aca="false">'Schedule Engine'!E257</f>
        <v>Countertops</v>
      </c>
      <c r="C258" s="0" t="str">
        <f aca="false">'Schedule Engine'!F257</f>
        <v>Tate Granit</v>
      </c>
      <c r="D258" s="0" t="n">
        <f aca="false">'Schedule Engine'!G257</f>
        <v>0</v>
      </c>
      <c r="E258" s="34" t="n">
        <f aca="false">'Schedule Engine'!N257</f>
        <v>46372</v>
      </c>
      <c r="F258" s="34" t="n">
        <f aca="false">'Schedule Engine'!O257</f>
        <v>46373</v>
      </c>
      <c r="G258" s="0" t="n">
        <f aca="false">'Schedule Engine'!K257</f>
        <v>2</v>
      </c>
      <c r="H258" s="0" t="n">
        <f aca="false">'Schedule Engine'!P257</f>
        <v>0</v>
      </c>
      <c r="L258" s="51"/>
      <c r="M258" s="51"/>
      <c r="S258" s="51"/>
      <c r="T258" s="51"/>
      <c r="Z258" s="51"/>
      <c r="AA258" s="51"/>
      <c r="AG258" s="51"/>
      <c r="AH258" s="51"/>
      <c r="AN258" s="51"/>
      <c r="AO258" s="51"/>
      <c r="AU258" s="51"/>
      <c r="AV258" s="51"/>
      <c r="BB258" s="51"/>
      <c r="BC258" s="51"/>
      <c r="BI258" s="51"/>
      <c r="BJ258" s="51"/>
      <c r="BP258" s="51"/>
      <c r="BQ258" s="51"/>
      <c r="BW258" s="51"/>
      <c r="BX258" s="51"/>
      <c r="CD258" s="51"/>
      <c r="CE258" s="51"/>
      <c r="CK258" s="51"/>
      <c r="CL258" s="51"/>
      <c r="CR258" s="51"/>
      <c r="CS258" s="51"/>
      <c r="CY258" s="51"/>
      <c r="CZ258" s="51"/>
      <c r="DF258" s="51"/>
      <c r="DG258" s="51"/>
      <c r="DM258" s="51"/>
      <c r="DN258" s="51"/>
      <c r="DT258" s="51"/>
      <c r="DU258" s="51"/>
      <c r="EA258" s="51"/>
      <c r="EB258" s="51"/>
      <c r="EH258" s="51"/>
      <c r="EI258" s="51"/>
      <c r="EO258" s="51"/>
      <c r="EP258" s="51"/>
      <c r="EV258" s="51"/>
      <c r="EW258" s="51"/>
      <c r="FC258" s="51"/>
      <c r="FD258" s="51"/>
      <c r="FJ258" s="51"/>
      <c r="FK258" s="51"/>
      <c r="FQ258" s="51"/>
      <c r="FR258" s="51"/>
      <c r="FX258" s="51"/>
      <c r="FY258" s="51"/>
      <c r="GE258" s="51"/>
      <c r="GF258" s="51"/>
      <c r="GL258" s="51"/>
      <c r="GM258" s="51"/>
      <c r="GS258" s="51"/>
      <c r="GT258" s="51"/>
      <c r="GZ258" s="51"/>
      <c r="HA258" s="51"/>
      <c r="HG258" s="51"/>
      <c r="HH258" s="51"/>
      <c r="HN258" s="51"/>
      <c r="HO258" s="51"/>
    </row>
    <row r="259" customFormat="false" ht="15" hidden="false" customHeight="false" outlineLevel="0" collapsed="false">
      <c r="A259" s="0" t="str">
        <f aca="false">'Schedule Engine'!B258</f>
        <v>IW15</v>
      </c>
      <c r="B259" s="0" t="str">
        <f aca="false">'Schedule Engine'!E258</f>
        <v>Painting Main</v>
      </c>
      <c r="C259" s="0" t="str">
        <f aca="false">'Schedule Engine'!F258</f>
        <v>L&amp;L Painting</v>
      </c>
      <c r="D259" s="0" t="n">
        <f aca="false">'Schedule Engine'!G258</f>
        <v>0</v>
      </c>
      <c r="E259" s="34" t="n">
        <f aca="false">'Schedule Engine'!N258</f>
        <v>46374</v>
      </c>
      <c r="F259" s="34" t="n">
        <f aca="false">'Schedule Engine'!O258</f>
        <v>46387</v>
      </c>
      <c r="G259" s="0" t="n">
        <f aca="false">'Schedule Engine'!K258</f>
        <v>10</v>
      </c>
      <c r="H259" s="0" t="n">
        <f aca="false">'Schedule Engine'!P258</f>
        <v>0</v>
      </c>
      <c r="L259" s="51"/>
      <c r="M259" s="51"/>
      <c r="S259" s="51"/>
      <c r="T259" s="51"/>
      <c r="Z259" s="51"/>
      <c r="AA259" s="51"/>
      <c r="AG259" s="51"/>
      <c r="AH259" s="51"/>
      <c r="AN259" s="51"/>
      <c r="AO259" s="51"/>
      <c r="AU259" s="51"/>
      <c r="AV259" s="51"/>
      <c r="BB259" s="51"/>
      <c r="BC259" s="51"/>
      <c r="BI259" s="51"/>
      <c r="BJ259" s="51"/>
      <c r="BP259" s="51"/>
      <c r="BQ259" s="51"/>
      <c r="BW259" s="51"/>
      <c r="BX259" s="51"/>
      <c r="CD259" s="51"/>
      <c r="CE259" s="51"/>
      <c r="CK259" s="51"/>
      <c r="CL259" s="51"/>
      <c r="CR259" s="51"/>
      <c r="CS259" s="51"/>
      <c r="CY259" s="51"/>
      <c r="CZ259" s="51"/>
      <c r="DF259" s="51"/>
      <c r="DG259" s="51"/>
      <c r="DM259" s="51"/>
      <c r="DN259" s="51"/>
      <c r="DT259" s="51"/>
      <c r="DU259" s="51"/>
      <c r="EA259" s="51"/>
      <c r="EB259" s="51"/>
      <c r="EH259" s="51"/>
      <c r="EI259" s="51"/>
      <c r="EO259" s="51"/>
      <c r="EP259" s="51"/>
      <c r="EV259" s="51"/>
      <c r="EW259" s="51"/>
      <c r="FC259" s="51"/>
      <c r="FD259" s="51"/>
      <c r="FJ259" s="51"/>
      <c r="FK259" s="51"/>
      <c r="FQ259" s="51"/>
      <c r="FR259" s="51"/>
      <c r="FX259" s="51"/>
      <c r="FY259" s="51"/>
      <c r="GE259" s="51"/>
      <c r="GF259" s="51"/>
      <c r="GL259" s="51"/>
      <c r="GM259" s="51"/>
      <c r="GS259" s="51"/>
      <c r="GT259" s="51"/>
      <c r="GZ259" s="51"/>
      <c r="HA259" s="51"/>
      <c r="HG259" s="51"/>
      <c r="HH259" s="51"/>
      <c r="HN259" s="51"/>
      <c r="HO259" s="51"/>
    </row>
    <row r="260" customFormat="false" ht="15" hidden="false" customHeight="false" outlineLevel="0" collapsed="false">
      <c r="A260" s="0" t="str">
        <f aca="false">'Schedule Engine'!B259</f>
        <v>IW15</v>
      </c>
      <c r="B260" s="0" t="str">
        <f aca="false">'Schedule Engine'!E259</f>
        <v>Appliances</v>
      </c>
      <c r="C260" s="0" t="str">
        <f aca="false">'Schedule Engine'!F259</f>
        <v>Dave Kaler</v>
      </c>
      <c r="D260" s="0" t="n">
        <f aca="false">'Schedule Engine'!G259</f>
        <v>0</v>
      </c>
      <c r="E260" s="34" t="n">
        <f aca="false">'Schedule Engine'!N259</f>
        <v>46374</v>
      </c>
      <c r="F260" s="34" t="n">
        <f aca="false">'Schedule Engine'!O259</f>
        <v>46377</v>
      </c>
      <c r="G260" s="0" t="n">
        <f aca="false">'Schedule Engine'!K259</f>
        <v>2</v>
      </c>
      <c r="H260" s="0" t="n">
        <f aca="false">'Schedule Engine'!P259</f>
        <v>0</v>
      </c>
      <c r="L260" s="51"/>
      <c r="M260" s="51"/>
      <c r="S260" s="51"/>
      <c r="T260" s="51"/>
      <c r="Z260" s="51"/>
      <c r="AA260" s="51"/>
      <c r="AG260" s="51"/>
      <c r="AH260" s="51"/>
      <c r="AN260" s="51"/>
      <c r="AO260" s="51"/>
      <c r="AU260" s="51"/>
      <c r="AV260" s="51"/>
      <c r="BB260" s="51"/>
      <c r="BC260" s="51"/>
      <c r="BI260" s="51"/>
      <c r="BJ260" s="51"/>
      <c r="BP260" s="51"/>
      <c r="BQ260" s="51"/>
      <c r="BW260" s="51"/>
      <c r="BX260" s="51"/>
      <c r="CD260" s="51"/>
      <c r="CE260" s="51"/>
      <c r="CK260" s="51"/>
      <c r="CL260" s="51"/>
      <c r="CR260" s="51"/>
      <c r="CS260" s="51"/>
      <c r="CY260" s="51"/>
      <c r="CZ260" s="51"/>
      <c r="DF260" s="51"/>
      <c r="DG260" s="51"/>
      <c r="DM260" s="51"/>
      <c r="DN260" s="51"/>
      <c r="DT260" s="51"/>
      <c r="DU260" s="51"/>
      <c r="EA260" s="51"/>
      <c r="EB260" s="51"/>
      <c r="EH260" s="51"/>
      <c r="EI260" s="51"/>
      <c r="EO260" s="51"/>
      <c r="EP260" s="51"/>
      <c r="EV260" s="51"/>
      <c r="EW260" s="51"/>
      <c r="FC260" s="51"/>
      <c r="FD260" s="51"/>
      <c r="FJ260" s="51"/>
      <c r="FK260" s="51"/>
      <c r="FQ260" s="51"/>
      <c r="FR260" s="51"/>
      <c r="FX260" s="51"/>
      <c r="FY260" s="51"/>
      <c r="GE260" s="51"/>
      <c r="GF260" s="51"/>
      <c r="GL260" s="51"/>
      <c r="GM260" s="51"/>
      <c r="GS260" s="51"/>
      <c r="GT260" s="51"/>
      <c r="GZ260" s="51"/>
      <c r="HA260" s="51"/>
      <c r="HG260" s="51"/>
      <c r="HH260" s="51"/>
      <c r="HN260" s="51"/>
      <c r="HO260" s="51"/>
    </row>
    <row r="261" customFormat="false" ht="15" hidden="false" customHeight="false" outlineLevel="0" collapsed="false">
      <c r="A261" s="0" t="str">
        <f aca="false">'Schedule Engine'!B260</f>
        <v>IW15</v>
      </c>
      <c r="B261" s="0" t="str">
        <f aca="false">'Schedule Engine'!E260</f>
        <v>HVAC Finish</v>
      </c>
      <c r="C261" s="0" t="str">
        <f aca="false">'Schedule Engine'!F260</f>
        <v>Adco</v>
      </c>
      <c r="D261" s="0" t="n">
        <f aca="false">'Schedule Engine'!G260</f>
        <v>0</v>
      </c>
      <c r="E261" s="34" t="n">
        <f aca="false">'Schedule Engine'!N260</f>
        <v>46388</v>
      </c>
      <c r="F261" s="34" t="n">
        <f aca="false">'Schedule Engine'!O260</f>
        <v>46391</v>
      </c>
      <c r="G261" s="0" t="n">
        <f aca="false">'Schedule Engine'!K260</f>
        <v>2</v>
      </c>
      <c r="H261" s="0" t="n">
        <f aca="false">'Schedule Engine'!P260</f>
        <v>0</v>
      </c>
      <c r="L261" s="51"/>
      <c r="M261" s="51"/>
      <c r="S261" s="51"/>
      <c r="T261" s="51"/>
      <c r="Z261" s="51"/>
      <c r="AA261" s="51"/>
      <c r="AG261" s="51"/>
      <c r="AH261" s="51"/>
      <c r="AN261" s="51"/>
      <c r="AO261" s="51"/>
      <c r="AU261" s="51"/>
      <c r="AV261" s="51"/>
      <c r="BB261" s="51"/>
      <c r="BC261" s="51"/>
      <c r="BI261" s="51"/>
      <c r="BJ261" s="51"/>
      <c r="BP261" s="51"/>
      <c r="BQ261" s="51"/>
      <c r="BW261" s="51"/>
      <c r="BX261" s="51"/>
      <c r="CD261" s="51"/>
      <c r="CE261" s="51"/>
      <c r="CK261" s="51"/>
      <c r="CL261" s="51"/>
      <c r="CR261" s="51"/>
      <c r="CS261" s="51"/>
      <c r="CY261" s="51"/>
      <c r="CZ261" s="51"/>
      <c r="DF261" s="51"/>
      <c r="DG261" s="51"/>
      <c r="DM261" s="51"/>
      <c r="DN261" s="51"/>
      <c r="DT261" s="51"/>
      <c r="DU261" s="51"/>
      <c r="EA261" s="51"/>
      <c r="EB261" s="51"/>
      <c r="EH261" s="51"/>
      <c r="EI261" s="51"/>
      <c r="EO261" s="51"/>
      <c r="EP261" s="51"/>
      <c r="EV261" s="51"/>
      <c r="EW261" s="51"/>
      <c r="FC261" s="51"/>
      <c r="FD261" s="51"/>
      <c r="FJ261" s="51"/>
      <c r="FK261" s="51"/>
      <c r="FQ261" s="51"/>
      <c r="FR261" s="51"/>
      <c r="FX261" s="51"/>
      <c r="FY261" s="51"/>
      <c r="GE261" s="51"/>
      <c r="GF261" s="51"/>
      <c r="GL261" s="51"/>
      <c r="GM261" s="51"/>
      <c r="GS261" s="51"/>
      <c r="GT261" s="51"/>
      <c r="GZ261" s="51"/>
      <c r="HA261" s="51"/>
      <c r="HG261" s="51"/>
      <c r="HH261" s="51"/>
      <c r="HN261" s="51"/>
      <c r="HO261" s="51"/>
    </row>
    <row r="262" customFormat="false" ht="15" hidden="false" customHeight="false" outlineLevel="0" collapsed="false">
      <c r="A262" s="0" t="str">
        <f aca="false">'Schedule Engine'!B261</f>
        <v>IW15</v>
      </c>
      <c r="B262" s="0" t="str">
        <f aca="false">'Schedule Engine'!E261</f>
        <v>Plumbing Finish</v>
      </c>
      <c r="C262" s="0" t="str">
        <f aca="false">'Schedule Engine'!F261</f>
        <v>Hays</v>
      </c>
      <c r="D262" s="0" t="str">
        <f aca="false">'Schedule Engine'!G261</f>
        <v>Hays</v>
      </c>
      <c r="E262" s="34" t="n">
        <f aca="false">'Schedule Engine'!N261</f>
        <v>46374</v>
      </c>
      <c r="F262" s="34" t="n">
        <f aca="false">'Schedule Engine'!O261</f>
        <v>46377</v>
      </c>
      <c r="G262" s="0" t="n">
        <f aca="false">'Schedule Engine'!K261</f>
        <v>2</v>
      </c>
      <c r="H262" s="0" t="n">
        <f aca="false">'Schedule Engine'!P261</f>
        <v>0</v>
      </c>
      <c r="L262" s="51"/>
      <c r="M262" s="51"/>
      <c r="S262" s="51"/>
      <c r="T262" s="51"/>
      <c r="Z262" s="51"/>
      <c r="AA262" s="51"/>
      <c r="AG262" s="51"/>
      <c r="AH262" s="51"/>
      <c r="AN262" s="51"/>
      <c r="AO262" s="51"/>
      <c r="AU262" s="51"/>
      <c r="AV262" s="51"/>
      <c r="BB262" s="51"/>
      <c r="BC262" s="51"/>
      <c r="BI262" s="51"/>
      <c r="BJ262" s="51"/>
      <c r="BP262" s="51"/>
      <c r="BQ262" s="51"/>
      <c r="BW262" s="51"/>
      <c r="BX262" s="51"/>
      <c r="CD262" s="51"/>
      <c r="CE262" s="51"/>
      <c r="CK262" s="51"/>
      <c r="CL262" s="51"/>
      <c r="CR262" s="51"/>
      <c r="CS262" s="51"/>
      <c r="CY262" s="51"/>
      <c r="CZ262" s="51"/>
      <c r="DF262" s="51"/>
      <c r="DG262" s="51"/>
      <c r="DM262" s="51"/>
      <c r="DN262" s="51"/>
      <c r="DT262" s="51"/>
      <c r="DU262" s="51"/>
      <c r="EA262" s="51"/>
      <c r="EB262" s="51"/>
      <c r="EH262" s="51"/>
      <c r="EI262" s="51"/>
      <c r="EO262" s="51"/>
      <c r="EP262" s="51"/>
      <c r="EV262" s="51"/>
      <c r="EW262" s="51"/>
      <c r="FC262" s="51"/>
      <c r="FD262" s="51"/>
      <c r="FJ262" s="51"/>
      <c r="FK262" s="51"/>
      <c r="FQ262" s="51"/>
      <c r="FR262" s="51"/>
      <c r="FX262" s="51"/>
      <c r="FY262" s="51"/>
      <c r="GE262" s="51"/>
      <c r="GF262" s="51"/>
      <c r="GL262" s="51"/>
      <c r="GM262" s="51"/>
      <c r="GS262" s="51"/>
      <c r="GT262" s="51"/>
      <c r="GZ262" s="51"/>
      <c r="HA262" s="51"/>
      <c r="HG262" s="51"/>
      <c r="HH262" s="51"/>
      <c r="HN262" s="51"/>
      <c r="HO262" s="51"/>
    </row>
    <row r="263" customFormat="false" ht="15" hidden="false" customHeight="false" outlineLevel="0" collapsed="false">
      <c r="A263" s="0" t="str">
        <f aca="false">'Schedule Engine'!B262</f>
        <v>IW15</v>
      </c>
      <c r="B263" s="0" t="str">
        <f aca="false">'Schedule Engine'!E262</f>
        <v>Electrical Finish</v>
      </c>
      <c r="C263" s="0" t="str">
        <f aca="false">'Schedule Engine'!F262</f>
        <v>Dave Kaler</v>
      </c>
      <c r="D263" s="0" t="n">
        <f aca="false">'Schedule Engine'!G262</f>
        <v>0</v>
      </c>
      <c r="E263" s="34" t="n">
        <f aca="false">'Schedule Engine'!N262</f>
        <v>46388</v>
      </c>
      <c r="F263" s="34" t="n">
        <f aca="false">'Schedule Engine'!O262</f>
        <v>46393</v>
      </c>
      <c r="G263" s="0" t="n">
        <f aca="false">'Schedule Engine'!K262</f>
        <v>4</v>
      </c>
      <c r="H263" s="0" t="n">
        <f aca="false">'Schedule Engine'!P262</f>
        <v>0</v>
      </c>
      <c r="L263" s="51"/>
      <c r="M263" s="51"/>
      <c r="S263" s="51"/>
      <c r="T263" s="51"/>
      <c r="Z263" s="51"/>
      <c r="AA263" s="51"/>
      <c r="AG263" s="51"/>
      <c r="AH263" s="51"/>
      <c r="AN263" s="51"/>
      <c r="AO263" s="51"/>
      <c r="AU263" s="51"/>
      <c r="AV263" s="51"/>
      <c r="BB263" s="51"/>
      <c r="BC263" s="51"/>
      <c r="BI263" s="51"/>
      <c r="BJ263" s="51"/>
      <c r="BP263" s="51"/>
      <c r="BQ263" s="51"/>
      <c r="BW263" s="51"/>
      <c r="BX263" s="51"/>
      <c r="CD263" s="51"/>
      <c r="CE263" s="51"/>
      <c r="CK263" s="51"/>
      <c r="CL263" s="51"/>
      <c r="CR263" s="51"/>
      <c r="CS263" s="51"/>
      <c r="CY263" s="51"/>
      <c r="CZ263" s="51"/>
      <c r="DF263" s="51"/>
      <c r="DG263" s="51"/>
      <c r="DM263" s="51"/>
      <c r="DN263" s="51"/>
      <c r="DT263" s="51"/>
      <c r="DU263" s="51"/>
      <c r="EA263" s="51"/>
      <c r="EB263" s="51"/>
      <c r="EH263" s="51"/>
      <c r="EI263" s="51"/>
      <c r="EO263" s="51"/>
      <c r="EP263" s="51"/>
      <c r="EV263" s="51"/>
      <c r="EW263" s="51"/>
      <c r="FC263" s="51"/>
      <c r="FD263" s="51"/>
      <c r="FJ263" s="51"/>
      <c r="FK263" s="51"/>
      <c r="FQ263" s="51"/>
      <c r="FR263" s="51"/>
      <c r="FX263" s="51"/>
      <c r="FY263" s="51"/>
      <c r="GE263" s="51"/>
      <c r="GF263" s="51"/>
      <c r="GL263" s="51"/>
      <c r="GM263" s="51"/>
      <c r="GS263" s="51"/>
      <c r="GT263" s="51"/>
      <c r="GZ263" s="51"/>
      <c r="HA263" s="51"/>
      <c r="HG263" s="51"/>
      <c r="HH263" s="51"/>
      <c r="HN263" s="51"/>
      <c r="HO263" s="51"/>
    </row>
    <row r="264" customFormat="false" ht="15" hidden="false" customHeight="false" outlineLevel="0" collapsed="false">
      <c r="A264" s="0" t="str">
        <f aca="false">'Schedule Engine'!B263</f>
        <v>IW15</v>
      </c>
      <c r="B264" s="0" t="str">
        <f aca="false">'Schedule Engine'!E263</f>
        <v>Insulation Ceiling</v>
      </c>
      <c r="C264" s="0" t="str">
        <f aca="false">'Schedule Engine'!F263</f>
        <v>Tyler Champion</v>
      </c>
      <c r="D264" s="0" t="n">
        <f aca="false">'Schedule Engine'!G263</f>
        <v>0</v>
      </c>
      <c r="E264" s="34" t="n">
        <f aca="false">'Schedule Engine'!N263</f>
        <v>46394</v>
      </c>
      <c r="F264" s="34" t="n">
        <f aca="false">'Schedule Engine'!O263</f>
        <v>46395</v>
      </c>
      <c r="G264" s="0" t="n">
        <f aca="false">'Schedule Engine'!K263</f>
        <v>2</v>
      </c>
      <c r="H264" s="0" t="n">
        <f aca="false">'Schedule Engine'!P263</f>
        <v>0</v>
      </c>
      <c r="L264" s="51"/>
      <c r="M264" s="51"/>
      <c r="S264" s="51"/>
      <c r="T264" s="51"/>
      <c r="Z264" s="51"/>
      <c r="AA264" s="51"/>
      <c r="AG264" s="51"/>
      <c r="AH264" s="51"/>
      <c r="AN264" s="51"/>
      <c r="AO264" s="51"/>
      <c r="AU264" s="51"/>
      <c r="AV264" s="51"/>
      <c r="BB264" s="51"/>
      <c r="BC264" s="51"/>
      <c r="BI264" s="51"/>
      <c r="BJ264" s="51"/>
      <c r="BP264" s="51"/>
      <c r="BQ264" s="51"/>
      <c r="BW264" s="51"/>
      <c r="BX264" s="51"/>
      <c r="CD264" s="51"/>
      <c r="CE264" s="51"/>
      <c r="CK264" s="51"/>
      <c r="CL264" s="51"/>
      <c r="CR264" s="51"/>
      <c r="CS264" s="51"/>
      <c r="CY264" s="51"/>
      <c r="CZ264" s="51"/>
      <c r="DF264" s="51"/>
      <c r="DG264" s="51"/>
      <c r="DM264" s="51"/>
      <c r="DN264" s="51"/>
      <c r="DT264" s="51"/>
      <c r="DU264" s="51"/>
      <c r="EA264" s="51"/>
      <c r="EB264" s="51"/>
      <c r="EH264" s="51"/>
      <c r="EI264" s="51"/>
      <c r="EO264" s="51"/>
      <c r="EP264" s="51"/>
      <c r="EV264" s="51"/>
      <c r="EW264" s="51"/>
      <c r="FC264" s="51"/>
      <c r="FD264" s="51"/>
      <c r="FJ264" s="51"/>
      <c r="FK264" s="51"/>
      <c r="FQ264" s="51"/>
      <c r="FR264" s="51"/>
      <c r="FX264" s="51"/>
      <c r="FY264" s="51"/>
      <c r="GE264" s="51"/>
      <c r="GF264" s="51"/>
      <c r="GL264" s="51"/>
      <c r="GM264" s="51"/>
      <c r="GS264" s="51"/>
      <c r="GT264" s="51"/>
      <c r="GZ264" s="51"/>
      <c r="HA264" s="51"/>
      <c r="HG264" s="51"/>
      <c r="HH264" s="51"/>
      <c r="HN264" s="51"/>
      <c r="HO264" s="51"/>
    </row>
    <row r="265" customFormat="false" ht="15" hidden="false" customHeight="false" outlineLevel="0" collapsed="false">
      <c r="A265" s="0" t="str">
        <f aca="false">'Schedule Engine'!B264</f>
        <v>IW15</v>
      </c>
      <c r="B265" s="0" t="str">
        <f aca="false">'Schedule Engine'!E264</f>
        <v>Painting Finish</v>
      </c>
      <c r="C265" s="0" t="str">
        <f aca="false">'Schedule Engine'!F264</f>
        <v>L&amp;L Painting</v>
      </c>
      <c r="D265" s="0" t="n">
        <f aca="false">'Schedule Engine'!G264</f>
        <v>0</v>
      </c>
      <c r="E265" s="34" t="n">
        <f aca="false">'Schedule Engine'!N264</f>
        <v>46394</v>
      </c>
      <c r="F265" s="34" t="n">
        <f aca="false">'Schedule Engine'!O264</f>
        <v>46400</v>
      </c>
      <c r="G265" s="0" t="n">
        <f aca="false">'Schedule Engine'!K264</f>
        <v>5</v>
      </c>
      <c r="H265" s="0" t="n">
        <f aca="false">'Schedule Engine'!P264</f>
        <v>0</v>
      </c>
      <c r="L265" s="51"/>
      <c r="M265" s="51"/>
      <c r="S265" s="51"/>
      <c r="T265" s="51"/>
      <c r="Z265" s="51"/>
      <c r="AA265" s="51"/>
      <c r="AG265" s="51"/>
      <c r="AH265" s="51"/>
      <c r="AN265" s="51"/>
      <c r="AO265" s="51"/>
      <c r="AU265" s="51"/>
      <c r="AV265" s="51"/>
      <c r="BB265" s="51"/>
      <c r="BC265" s="51"/>
      <c r="BI265" s="51"/>
      <c r="BJ265" s="51"/>
      <c r="BP265" s="51"/>
      <c r="BQ265" s="51"/>
      <c r="BW265" s="51"/>
      <c r="BX265" s="51"/>
      <c r="CD265" s="51"/>
      <c r="CE265" s="51"/>
      <c r="CK265" s="51"/>
      <c r="CL265" s="51"/>
      <c r="CR265" s="51"/>
      <c r="CS265" s="51"/>
      <c r="CY265" s="51"/>
      <c r="CZ265" s="51"/>
      <c r="DF265" s="51"/>
      <c r="DG265" s="51"/>
      <c r="DM265" s="51"/>
      <c r="DN265" s="51"/>
      <c r="DT265" s="51"/>
      <c r="DU265" s="51"/>
      <c r="EA265" s="51"/>
      <c r="EB265" s="51"/>
      <c r="EH265" s="51"/>
      <c r="EI265" s="51"/>
      <c r="EO265" s="51"/>
      <c r="EP265" s="51"/>
      <c r="EV265" s="51"/>
      <c r="EW265" s="51"/>
      <c r="FC265" s="51"/>
      <c r="FD265" s="51"/>
      <c r="FJ265" s="51"/>
      <c r="FK265" s="51"/>
      <c r="FQ265" s="51"/>
      <c r="FR265" s="51"/>
      <c r="FX265" s="51"/>
      <c r="FY265" s="51"/>
      <c r="GE265" s="51"/>
      <c r="GF265" s="51"/>
      <c r="GL265" s="51"/>
      <c r="GM265" s="51"/>
      <c r="GS265" s="51"/>
      <c r="GT265" s="51"/>
      <c r="GZ265" s="51"/>
      <c r="HA265" s="51"/>
      <c r="HG265" s="51"/>
      <c r="HH265" s="51"/>
      <c r="HN265" s="51"/>
      <c r="HO265" s="51"/>
    </row>
    <row r="266" customFormat="false" ht="15" hidden="false" customHeight="false" outlineLevel="0" collapsed="false">
      <c r="A266" s="0" t="str">
        <f aca="false">'Schedule Engine'!B265</f>
        <v>IW15</v>
      </c>
      <c r="B266" s="0" t="str">
        <f aca="false">'Schedule Engine'!E265</f>
        <v>Cleaning</v>
      </c>
      <c r="C266" s="0" t="str">
        <f aca="false">'Schedule Engine'!F265</f>
        <v>Angies Cleaning</v>
      </c>
      <c r="D266" s="0" t="n">
        <f aca="false">'Schedule Engine'!G265</f>
        <v>0</v>
      </c>
      <c r="E266" s="34" t="n">
        <f aca="false">'Schedule Engine'!N265</f>
        <v>46401</v>
      </c>
      <c r="F266" s="34" t="n">
        <f aca="false">'Schedule Engine'!O265</f>
        <v>46405</v>
      </c>
      <c r="G266" s="0" t="n">
        <f aca="false">'Schedule Engine'!K265</f>
        <v>3</v>
      </c>
      <c r="H266" s="0" t="n">
        <f aca="false">'Schedule Engine'!P265</f>
        <v>0</v>
      </c>
      <c r="L266" s="51"/>
      <c r="M266" s="51"/>
      <c r="S266" s="51"/>
      <c r="T266" s="51"/>
      <c r="Z266" s="51"/>
      <c r="AA266" s="51"/>
      <c r="AG266" s="51"/>
      <c r="AH266" s="51"/>
      <c r="AN266" s="51"/>
      <c r="AO266" s="51"/>
      <c r="AU266" s="51"/>
      <c r="AV266" s="51"/>
      <c r="BB266" s="51"/>
      <c r="BC266" s="51"/>
      <c r="BI266" s="51"/>
      <c r="BJ266" s="51"/>
      <c r="BP266" s="51"/>
      <c r="BQ266" s="51"/>
      <c r="BW266" s="51"/>
      <c r="BX266" s="51"/>
      <c r="CD266" s="51"/>
      <c r="CE266" s="51"/>
      <c r="CK266" s="51"/>
      <c r="CL266" s="51"/>
      <c r="CR266" s="51"/>
      <c r="CS266" s="51"/>
      <c r="CY266" s="51"/>
      <c r="CZ266" s="51"/>
      <c r="DF266" s="51"/>
      <c r="DG266" s="51"/>
      <c r="DM266" s="51"/>
      <c r="DN266" s="51"/>
      <c r="DT266" s="51"/>
      <c r="DU266" s="51"/>
      <c r="EA266" s="51"/>
      <c r="EB266" s="51"/>
      <c r="EH266" s="51"/>
      <c r="EI266" s="51"/>
      <c r="EO266" s="51"/>
      <c r="EP266" s="51"/>
      <c r="EV266" s="51"/>
      <c r="EW266" s="51"/>
      <c r="FC266" s="51"/>
      <c r="FD266" s="51"/>
      <c r="FJ266" s="51"/>
      <c r="FK266" s="51"/>
      <c r="FQ266" s="51"/>
      <c r="FR266" s="51"/>
      <c r="FX266" s="51"/>
      <c r="FY266" s="51"/>
      <c r="GE266" s="51"/>
      <c r="GF266" s="51"/>
      <c r="GL266" s="51"/>
      <c r="GM266" s="51"/>
      <c r="GS266" s="51"/>
      <c r="GT266" s="51"/>
      <c r="GZ266" s="51"/>
      <c r="HA266" s="51"/>
      <c r="HG266" s="51"/>
      <c r="HH266" s="51"/>
      <c r="HN266" s="51"/>
      <c r="HO266" s="51"/>
    </row>
  </sheetData>
  <conditionalFormatting sqref="I3:HT3">
    <cfRule type="expression" priority="2" aboveAverage="0" equalAverage="0" bottom="0" percent="0" rank="0" text="" dxfId="28">
      <formula>AND(I$1&gt;=$E3,I$1&lt;=$F3,$H3=0)</formula>
    </cfRule>
    <cfRule type="expression" priority="3" aboveAverage="0" equalAverage="0" bottom="0" percent="0" rank="0" text="" dxfId="29">
      <formula>AND(I$1&gt;=$E3,I$1&lt;=$F3,$H3&gt;0)</formula>
    </cfRule>
  </conditionalFormatting>
  <conditionalFormatting sqref="I4:HT4">
    <cfRule type="expression" priority="4" aboveAverage="0" equalAverage="0" bottom="0" percent="0" rank="0" text="" dxfId="28">
      <formula>AND(I$1&gt;=$E4,I$1&lt;=$F4,$H4=0)</formula>
    </cfRule>
    <cfRule type="expression" priority="5" aboveAverage="0" equalAverage="0" bottom="0" percent="0" rank="0" text="" dxfId="29">
      <formula>AND(I$1&gt;=$E4,I$1&lt;=$F4,$H4&gt;0)</formula>
    </cfRule>
  </conditionalFormatting>
  <conditionalFormatting sqref="I5:HT5">
    <cfRule type="expression" priority="6" aboveAverage="0" equalAverage="0" bottom="0" percent="0" rank="0" text="" dxfId="28">
      <formula>AND(I$1&gt;=$E5,I$1&lt;=$F5,$H5=0)</formula>
    </cfRule>
    <cfRule type="expression" priority="7" aboveAverage="0" equalAverage="0" bottom="0" percent="0" rank="0" text="" dxfId="29">
      <formula>AND(I$1&gt;=$E5,I$1&lt;=$F5,$H5&gt;0)</formula>
    </cfRule>
  </conditionalFormatting>
  <conditionalFormatting sqref="I6:HT6">
    <cfRule type="expression" priority="8" aboveAverage="0" equalAverage="0" bottom="0" percent="0" rank="0" text="" dxfId="28">
      <formula>AND(I$1&gt;=$E6,I$1&lt;=$F6,$H6=0)</formula>
    </cfRule>
    <cfRule type="expression" priority="9" aboveAverage="0" equalAverage="0" bottom="0" percent="0" rank="0" text="" dxfId="29">
      <formula>AND(I$1&gt;=$E6,I$1&lt;=$F6,$H6&gt;0)</formula>
    </cfRule>
  </conditionalFormatting>
  <conditionalFormatting sqref="I7:HT7">
    <cfRule type="expression" priority="10" aboveAverage="0" equalAverage="0" bottom="0" percent="0" rank="0" text="" dxfId="28">
      <formula>AND(I$1&gt;=$E7,I$1&lt;=$F7,$H7=0)</formula>
    </cfRule>
    <cfRule type="expression" priority="11" aboveAverage="0" equalAverage="0" bottom="0" percent="0" rank="0" text="" dxfId="29">
      <formula>AND(I$1&gt;=$E7,I$1&lt;=$F7,$H7&gt;0)</formula>
    </cfRule>
  </conditionalFormatting>
  <conditionalFormatting sqref="I8:HT8">
    <cfRule type="expression" priority="12" aboveAverage="0" equalAverage="0" bottom="0" percent="0" rank="0" text="" dxfId="28">
      <formula>AND(I$1&gt;=$E8,I$1&lt;=$F8,$H8=0)</formula>
    </cfRule>
    <cfRule type="expression" priority="13" aboveAverage="0" equalAverage="0" bottom="0" percent="0" rank="0" text="" dxfId="29">
      <formula>AND(I$1&gt;=$E8,I$1&lt;=$F8,$H8&gt;0)</formula>
    </cfRule>
  </conditionalFormatting>
  <conditionalFormatting sqref="I9:HT9">
    <cfRule type="expression" priority="14" aboveAverage="0" equalAverage="0" bottom="0" percent="0" rank="0" text="" dxfId="28">
      <formula>AND(I$1&gt;=$E9,I$1&lt;=$F9,$H9=0)</formula>
    </cfRule>
    <cfRule type="expression" priority="15" aboveAverage="0" equalAverage="0" bottom="0" percent="0" rank="0" text="" dxfId="29">
      <formula>AND(I$1&gt;=$E9,I$1&lt;=$F9,$H9&gt;0)</formula>
    </cfRule>
  </conditionalFormatting>
  <conditionalFormatting sqref="I10:HT10">
    <cfRule type="expression" priority="16" aboveAverage="0" equalAverage="0" bottom="0" percent="0" rank="0" text="" dxfId="28">
      <formula>AND(I$1&gt;=$E10,I$1&lt;=$F10,$H10=0)</formula>
    </cfRule>
    <cfRule type="expression" priority="17" aboveAverage="0" equalAverage="0" bottom="0" percent="0" rank="0" text="" dxfId="29">
      <formula>AND(I$1&gt;=$E10,I$1&lt;=$F10,$H10&gt;0)</formula>
    </cfRule>
  </conditionalFormatting>
  <conditionalFormatting sqref="I11:HT11">
    <cfRule type="expression" priority="18" aboveAverage="0" equalAverage="0" bottom="0" percent="0" rank="0" text="" dxfId="28">
      <formula>AND(I$1&gt;=$E11,I$1&lt;=$F11,$H11=0)</formula>
    </cfRule>
    <cfRule type="expression" priority="19" aboveAverage="0" equalAverage="0" bottom="0" percent="0" rank="0" text="" dxfId="29">
      <formula>AND(I$1&gt;=$E11,I$1&lt;=$F11,$H11&gt;0)</formula>
    </cfRule>
  </conditionalFormatting>
  <conditionalFormatting sqref="I12:HT12">
    <cfRule type="expression" priority="20" aboveAverage="0" equalAverage="0" bottom="0" percent="0" rank="0" text="" dxfId="28">
      <formula>AND(I$1&gt;=$E12,I$1&lt;=$F12,$H12=0)</formula>
    </cfRule>
    <cfRule type="expression" priority="21" aboveAverage="0" equalAverage="0" bottom="0" percent="0" rank="0" text="" dxfId="29">
      <formula>AND(I$1&gt;=$E12,I$1&lt;=$F12,$H12&gt;0)</formula>
    </cfRule>
  </conditionalFormatting>
  <conditionalFormatting sqref="I13:HT13">
    <cfRule type="expression" priority="22" aboveAverage="0" equalAverage="0" bottom="0" percent="0" rank="0" text="" dxfId="28">
      <formula>AND(I$1&gt;=$E13,I$1&lt;=$F13,$H13=0)</formula>
    </cfRule>
    <cfRule type="expression" priority="23" aboveAverage="0" equalAverage="0" bottom="0" percent="0" rank="0" text="" dxfId="29">
      <formula>AND(I$1&gt;=$E13,I$1&lt;=$F13,$H13&gt;0)</formula>
    </cfRule>
  </conditionalFormatting>
  <conditionalFormatting sqref="I14:HT14">
    <cfRule type="expression" priority="24" aboveAverage="0" equalAverage="0" bottom="0" percent="0" rank="0" text="" dxfId="28">
      <formula>AND(I$1&gt;=$E14,I$1&lt;=$F14,$H14=0)</formula>
    </cfRule>
    <cfRule type="expression" priority="25" aboveAverage="0" equalAverage="0" bottom="0" percent="0" rank="0" text="" dxfId="29">
      <formula>AND(I$1&gt;=$E14,I$1&lt;=$F14,$H14&gt;0)</formula>
    </cfRule>
  </conditionalFormatting>
  <conditionalFormatting sqref="I15:HT15">
    <cfRule type="expression" priority="26" aboveAverage="0" equalAverage="0" bottom="0" percent="0" rank="0" text="" dxfId="28">
      <formula>AND(I$1&gt;=$E15,I$1&lt;=$F15,$H15=0)</formula>
    </cfRule>
    <cfRule type="expression" priority="27" aboveAverage="0" equalAverage="0" bottom="0" percent="0" rank="0" text="" dxfId="29">
      <formula>AND(I$1&gt;=$E15,I$1&lt;=$F15,$H15&gt;0)</formula>
    </cfRule>
  </conditionalFormatting>
  <conditionalFormatting sqref="I16:HT16">
    <cfRule type="expression" priority="28" aboveAverage="0" equalAverage="0" bottom="0" percent="0" rank="0" text="" dxfId="28">
      <formula>AND(I$1&gt;=$E16,I$1&lt;=$F16,$H16=0)</formula>
    </cfRule>
    <cfRule type="expression" priority="29" aboveAverage="0" equalAverage="0" bottom="0" percent="0" rank="0" text="" dxfId="29">
      <formula>AND(I$1&gt;=$E16,I$1&lt;=$F16,$H16&gt;0)</formula>
    </cfRule>
  </conditionalFormatting>
  <conditionalFormatting sqref="I17:HT17">
    <cfRule type="expression" priority="30" aboveAverage="0" equalAverage="0" bottom="0" percent="0" rank="0" text="" dxfId="28">
      <formula>AND(I$1&gt;=$E17,I$1&lt;=$F17,$H17=0)</formula>
    </cfRule>
    <cfRule type="expression" priority="31" aboveAverage="0" equalAverage="0" bottom="0" percent="0" rank="0" text="" dxfId="29">
      <formula>AND(I$1&gt;=$E17,I$1&lt;=$F17,$H17&gt;0)</formula>
    </cfRule>
  </conditionalFormatting>
  <conditionalFormatting sqref="I18:HT18">
    <cfRule type="expression" priority="32" aboveAverage="0" equalAverage="0" bottom="0" percent="0" rank="0" text="" dxfId="28">
      <formula>AND(I$1&gt;=$E18,I$1&lt;=$F18,$H18=0)</formula>
    </cfRule>
    <cfRule type="expression" priority="33" aboveAverage="0" equalAverage="0" bottom="0" percent="0" rank="0" text="" dxfId="29">
      <formula>AND(I$1&gt;=$E18,I$1&lt;=$F18,$H18&gt;0)</formula>
    </cfRule>
  </conditionalFormatting>
  <conditionalFormatting sqref="I19:HT19">
    <cfRule type="expression" priority="34" aboveAverage="0" equalAverage="0" bottom="0" percent="0" rank="0" text="" dxfId="28">
      <formula>AND(I$1&gt;=$E19,I$1&lt;=$F19,$H19=0)</formula>
    </cfRule>
    <cfRule type="expression" priority="35" aboveAverage="0" equalAverage="0" bottom="0" percent="0" rank="0" text="" dxfId="29">
      <formula>AND(I$1&gt;=$E19,I$1&lt;=$F19,$H19&gt;0)</formula>
    </cfRule>
  </conditionalFormatting>
  <conditionalFormatting sqref="I20:HT20">
    <cfRule type="expression" priority="36" aboveAverage="0" equalAverage="0" bottom="0" percent="0" rank="0" text="" dxfId="28">
      <formula>AND(I$1&gt;=$E20,I$1&lt;=$F20,$H20=0)</formula>
    </cfRule>
    <cfRule type="expression" priority="37" aboveAverage="0" equalAverage="0" bottom="0" percent="0" rank="0" text="" dxfId="29">
      <formula>AND(I$1&gt;=$E20,I$1&lt;=$F20,$H20&gt;0)</formula>
    </cfRule>
  </conditionalFormatting>
  <conditionalFormatting sqref="I21:HT21">
    <cfRule type="expression" priority="38" aboveAverage="0" equalAverage="0" bottom="0" percent="0" rank="0" text="" dxfId="28">
      <formula>AND(I$1&gt;=$E21,I$1&lt;=$F21,$H21=0)</formula>
    </cfRule>
    <cfRule type="expression" priority="39" aboveAverage="0" equalAverage="0" bottom="0" percent="0" rank="0" text="" dxfId="29">
      <formula>AND(I$1&gt;=$E21,I$1&lt;=$F21,$H21&gt;0)</formula>
    </cfRule>
  </conditionalFormatting>
  <conditionalFormatting sqref="I22:HT22">
    <cfRule type="expression" priority="40" aboveAverage="0" equalAverage="0" bottom="0" percent="0" rank="0" text="" dxfId="28">
      <formula>AND(I$1&gt;=$E22,I$1&lt;=$F22,$H22=0)</formula>
    </cfRule>
    <cfRule type="expression" priority="41" aboveAverage="0" equalAverage="0" bottom="0" percent="0" rank="0" text="" dxfId="29">
      <formula>AND(I$1&gt;=$E22,I$1&lt;=$F22,$H22&gt;0)</formula>
    </cfRule>
  </conditionalFormatting>
  <conditionalFormatting sqref="I23:HT23">
    <cfRule type="expression" priority="42" aboveAverage="0" equalAverage="0" bottom="0" percent="0" rank="0" text="" dxfId="28">
      <formula>AND(I$1&gt;=$E23,I$1&lt;=$F23,$H23=0)</formula>
    </cfRule>
    <cfRule type="expression" priority="43" aboveAverage="0" equalAverage="0" bottom="0" percent="0" rank="0" text="" dxfId="29">
      <formula>AND(I$1&gt;=$E23,I$1&lt;=$F23,$H23&gt;0)</formula>
    </cfRule>
  </conditionalFormatting>
  <conditionalFormatting sqref="I24:HT24">
    <cfRule type="expression" priority="44" aboveAverage="0" equalAverage="0" bottom="0" percent="0" rank="0" text="" dxfId="28">
      <formula>AND(I$1&gt;=$E24,I$1&lt;=$F24,$H24=0)</formula>
    </cfRule>
    <cfRule type="expression" priority="45" aboveAverage="0" equalAverage="0" bottom="0" percent="0" rank="0" text="" dxfId="29">
      <formula>AND(I$1&gt;=$E24,I$1&lt;=$F24,$H24&gt;0)</formula>
    </cfRule>
  </conditionalFormatting>
  <conditionalFormatting sqref="I25:HT25">
    <cfRule type="expression" priority="46" aboveAverage="0" equalAverage="0" bottom="0" percent="0" rank="0" text="" dxfId="28">
      <formula>AND(I$1&gt;=$E25,I$1&lt;=$F25,$H25=0)</formula>
    </cfRule>
    <cfRule type="expression" priority="47" aboveAverage="0" equalAverage="0" bottom="0" percent="0" rank="0" text="" dxfId="29">
      <formula>AND(I$1&gt;=$E25,I$1&lt;=$F25,$H25&gt;0)</formula>
    </cfRule>
  </conditionalFormatting>
  <conditionalFormatting sqref="I26:HT26">
    <cfRule type="expression" priority="48" aboveAverage="0" equalAverage="0" bottom="0" percent="0" rank="0" text="" dxfId="28">
      <formula>AND(I$1&gt;=$E26,I$1&lt;=$F26,$H26=0)</formula>
    </cfRule>
    <cfRule type="expression" priority="49" aboveAverage="0" equalAverage="0" bottom="0" percent="0" rank="0" text="" dxfId="29">
      <formula>AND(I$1&gt;=$E26,I$1&lt;=$F26,$H26&gt;0)</formula>
    </cfRule>
  </conditionalFormatting>
  <conditionalFormatting sqref="I27:HT27">
    <cfRule type="expression" priority="50" aboveAverage="0" equalAverage="0" bottom="0" percent="0" rank="0" text="" dxfId="28">
      <formula>AND(I$1&gt;=$E27,I$1&lt;=$F27,$H27=0)</formula>
    </cfRule>
    <cfRule type="expression" priority="51" aboveAverage="0" equalAverage="0" bottom="0" percent="0" rank="0" text="" dxfId="29">
      <formula>AND(I$1&gt;=$E27,I$1&lt;=$F27,$H27&gt;0)</formula>
    </cfRule>
  </conditionalFormatting>
  <conditionalFormatting sqref="I28:HT28">
    <cfRule type="expression" priority="52" aboveAverage="0" equalAverage="0" bottom="0" percent="0" rank="0" text="" dxfId="28">
      <formula>AND(I$1&gt;=$E28,I$1&lt;=$F28,$H28=0)</formula>
    </cfRule>
    <cfRule type="expression" priority="53" aboveAverage="0" equalAverage="0" bottom="0" percent="0" rank="0" text="" dxfId="29">
      <formula>AND(I$1&gt;=$E28,I$1&lt;=$F28,$H28&gt;0)</formula>
    </cfRule>
  </conditionalFormatting>
  <conditionalFormatting sqref="I29:HT29">
    <cfRule type="expression" priority="54" aboveAverage="0" equalAverage="0" bottom="0" percent="0" rank="0" text="" dxfId="28">
      <formula>AND(I$1&gt;=$E29,I$1&lt;=$F29,$H29=0)</formula>
    </cfRule>
    <cfRule type="expression" priority="55" aboveAverage="0" equalAverage="0" bottom="0" percent="0" rank="0" text="" dxfId="29">
      <formula>AND(I$1&gt;=$E29,I$1&lt;=$F29,$H29&gt;0)</formula>
    </cfRule>
  </conditionalFormatting>
  <conditionalFormatting sqref="I30:HT30">
    <cfRule type="expression" priority="56" aboveAverage="0" equalAverage="0" bottom="0" percent="0" rank="0" text="" dxfId="28">
      <formula>AND(I$1&gt;=$E30,I$1&lt;=$F30,$H30=0)</formula>
    </cfRule>
    <cfRule type="expression" priority="57" aboveAverage="0" equalAverage="0" bottom="0" percent="0" rank="0" text="" dxfId="29">
      <formula>AND(I$1&gt;=$E30,I$1&lt;=$F30,$H30&gt;0)</formula>
    </cfRule>
  </conditionalFormatting>
  <conditionalFormatting sqref="I31:HT31">
    <cfRule type="expression" priority="58" aboveAverage="0" equalAverage="0" bottom="0" percent="0" rank="0" text="" dxfId="28">
      <formula>AND(I$1&gt;=$E31,I$1&lt;=$F31,$H31=0)</formula>
    </cfRule>
    <cfRule type="expression" priority="59" aboveAverage="0" equalAverage="0" bottom="0" percent="0" rank="0" text="" dxfId="29">
      <formula>AND(I$1&gt;=$E31,I$1&lt;=$F31,$H31&gt;0)</formula>
    </cfRule>
  </conditionalFormatting>
  <conditionalFormatting sqref="I32:HT32">
    <cfRule type="expression" priority="60" aboveAverage="0" equalAverage="0" bottom="0" percent="0" rank="0" text="" dxfId="28">
      <formula>AND(I$1&gt;=$E32,I$1&lt;=$F32,$H32=0)</formula>
    </cfRule>
    <cfRule type="expression" priority="61" aboveAverage="0" equalAverage="0" bottom="0" percent="0" rank="0" text="" dxfId="29">
      <formula>AND(I$1&gt;=$E32,I$1&lt;=$F32,$H32&gt;0)</formula>
    </cfRule>
  </conditionalFormatting>
  <conditionalFormatting sqref="I33:HT33">
    <cfRule type="expression" priority="62" aboveAverage="0" equalAverage="0" bottom="0" percent="0" rank="0" text="" dxfId="28">
      <formula>AND(I$1&gt;=$E33,I$1&lt;=$F33,$H33=0)</formula>
    </cfRule>
    <cfRule type="expression" priority="63" aboveAverage="0" equalAverage="0" bottom="0" percent="0" rank="0" text="" dxfId="29">
      <formula>AND(I$1&gt;=$E33,I$1&lt;=$F33,$H33&gt;0)</formula>
    </cfRule>
  </conditionalFormatting>
  <conditionalFormatting sqref="I34:HT34">
    <cfRule type="expression" priority="64" aboveAverage="0" equalAverage="0" bottom="0" percent="0" rank="0" text="" dxfId="28">
      <formula>AND(I$1&gt;=$E34,I$1&lt;=$F34,$H34=0)</formula>
    </cfRule>
    <cfRule type="expression" priority="65" aboveAverage="0" equalAverage="0" bottom="0" percent="0" rank="0" text="" dxfId="29">
      <formula>AND(I$1&gt;=$E34,I$1&lt;=$F34,$H34&gt;0)</formula>
    </cfRule>
  </conditionalFormatting>
  <conditionalFormatting sqref="I35:HT35">
    <cfRule type="expression" priority="66" aboveAverage="0" equalAverage="0" bottom="0" percent="0" rank="0" text="" dxfId="28">
      <formula>AND(I$1&gt;=$E35,I$1&lt;=$F35,$H35=0)</formula>
    </cfRule>
    <cfRule type="expression" priority="67" aboveAverage="0" equalAverage="0" bottom="0" percent="0" rank="0" text="" dxfId="29">
      <formula>AND(I$1&gt;=$E35,I$1&lt;=$F35,$H35&gt;0)</formula>
    </cfRule>
  </conditionalFormatting>
  <conditionalFormatting sqref="I36:HT36">
    <cfRule type="expression" priority="68" aboveAverage="0" equalAverage="0" bottom="0" percent="0" rank="0" text="" dxfId="28">
      <formula>AND(I$1&gt;=$E36,I$1&lt;=$F36,$H36=0)</formula>
    </cfRule>
    <cfRule type="expression" priority="69" aboveAverage="0" equalAverage="0" bottom="0" percent="0" rank="0" text="" dxfId="29">
      <formula>AND(I$1&gt;=$E36,I$1&lt;=$F36,$H36&gt;0)</formula>
    </cfRule>
  </conditionalFormatting>
  <conditionalFormatting sqref="I37:HT37">
    <cfRule type="expression" priority="70" aboveAverage="0" equalAverage="0" bottom="0" percent="0" rank="0" text="" dxfId="28">
      <formula>AND(I$1&gt;=$E37,I$1&lt;=$F37,$H37=0)</formula>
    </cfRule>
    <cfRule type="expression" priority="71" aboveAverage="0" equalAverage="0" bottom="0" percent="0" rank="0" text="" dxfId="29">
      <formula>AND(I$1&gt;=$E37,I$1&lt;=$F37,$H37&gt;0)</formula>
    </cfRule>
  </conditionalFormatting>
  <conditionalFormatting sqref="I38:HT38">
    <cfRule type="expression" priority="72" aboveAverage="0" equalAverage="0" bottom="0" percent="0" rank="0" text="" dxfId="28">
      <formula>AND(I$1&gt;=$E38,I$1&lt;=$F38,$H38=0)</formula>
    </cfRule>
    <cfRule type="expression" priority="73" aboveAverage="0" equalAverage="0" bottom="0" percent="0" rank="0" text="" dxfId="29">
      <formula>AND(I$1&gt;=$E38,I$1&lt;=$F38,$H38&gt;0)</formula>
    </cfRule>
  </conditionalFormatting>
  <conditionalFormatting sqref="I39:HT39">
    <cfRule type="expression" priority="74" aboveAverage="0" equalAverage="0" bottom="0" percent="0" rank="0" text="" dxfId="28">
      <formula>AND(I$1&gt;=$E39,I$1&lt;=$F39,$H39=0)</formula>
    </cfRule>
    <cfRule type="expression" priority="75" aboveAverage="0" equalAverage="0" bottom="0" percent="0" rank="0" text="" dxfId="29">
      <formula>AND(I$1&gt;=$E39,I$1&lt;=$F39,$H39&gt;0)</formula>
    </cfRule>
  </conditionalFormatting>
  <conditionalFormatting sqref="I40:HT40">
    <cfRule type="expression" priority="76" aboveAverage="0" equalAverage="0" bottom="0" percent="0" rank="0" text="" dxfId="28">
      <formula>AND(I$1&gt;=$E40,I$1&lt;=$F40,$H40=0)</formula>
    </cfRule>
    <cfRule type="expression" priority="77" aboveAverage="0" equalAverage="0" bottom="0" percent="0" rank="0" text="" dxfId="29">
      <formula>AND(I$1&gt;=$E40,I$1&lt;=$F40,$H40&gt;0)</formula>
    </cfRule>
  </conditionalFormatting>
  <conditionalFormatting sqref="I41:HT41">
    <cfRule type="expression" priority="78" aboveAverage="0" equalAverage="0" bottom="0" percent="0" rank="0" text="" dxfId="28">
      <formula>AND(I$1&gt;=$E41,I$1&lt;=$F41,$H41=0)</formula>
    </cfRule>
    <cfRule type="expression" priority="79" aboveAverage="0" equalAverage="0" bottom="0" percent="0" rank="0" text="" dxfId="29">
      <formula>AND(I$1&gt;=$E41,I$1&lt;=$F41,$H41&gt;0)</formula>
    </cfRule>
  </conditionalFormatting>
  <conditionalFormatting sqref="I42:HT42">
    <cfRule type="expression" priority="80" aboveAverage="0" equalAverage="0" bottom="0" percent="0" rank="0" text="" dxfId="28">
      <formula>AND(I$1&gt;=$E42,I$1&lt;=$F42,$H42=0)</formula>
    </cfRule>
    <cfRule type="expression" priority="81" aboveAverage="0" equalAverage="0" bottom="0" percent="0" rank="0" text="" dxfId="29">
      <formula>AND(I$1&gt;=$E42,I$1&lt;=$F42,$H42&gt;0)</formula>
    </cfRule>
  </conditionalFormatting>
  <conditionalFormatting sqref="I43:HT43">
    <cfRule type="expression" priority="82" aboveAverage="0" equalAverage="0" bottom="0" percent="0" rank="0" text="" dxfId="28">
      <formula>AND(I$1&gt;=$E43,I$1&lt;=$F43,$H43=0)</formula>
    </cfRule>
    <cfRule type="expression" priority="83" aboveAverage="0" equalAverage="0" bottom="0" percent="0" rank="0" text="" dxfId="29">
      <formula>AND(I$1&gt;=$E43,I$1&lt;=$F43,$H43&gt;0)</formula>
    </cfRule>
  </conditionalFormatting>
  <conditionalFormatting sqref="I44:HT44">
    <cfRule type="expression" priority="84" aboveAverage="0" equalAverage="0" bottom="0" percent="0" rank="0" text="" dxfId="28">
      <formula>AND(I$1&gt;=$E44,I$1&lt;=$F44,$H44=0)</formula>
    </cfRule>
    <cfRule type="expression" priority="85" aboveAverage="0" equalAverage="0" bottom="0" percent="0" rank="0" text="" dxfId="29">
      <formula>AND(I$1&gt;=$E44,I$1&lt;=$F44,$H44&gt;0)</formula>
    </cfRule>
  </conditionalFormatting>
  <conditionalFormatting sqref="I45:HT45">
    <cfRule type="expression" priority="86" aboveAverage="0" equalAverage="0" bottom="0" percent="0" rank="0" text="" dxfId="28">
      <formula>AND(I$1&gt;=$E45,I$1&lt;=$F45,$H45=0)</formula>
    </cfRule>
    <cfRule type="expression" priority="87" aboveAverage="0" equalAverage="0" bottom="0" percent="0" rank="0" text="" dxfId="29">
      <formula>AND(I$1&gt;=$E45,I$1&lt;=$F45,$H45&gt;0)</formula>
    </cfRule>
  </conditionalFormatting>
  <conditionalFormatting sqref="I46:HT46">
    <cfRule type="expression" priority="88" aboveAverage="0" equalAverage="0" bottom="0" percent="0" rank="0" text="" dxfId="28">
      <formula>AND(I$1&gt;=$E46,I$1&lt;=$F46,$H46=0)</formula>
    </cfRule>
    <cfRule type="expression" priority="89" aboveAverage="0" equalAverage="0" bottom="0" percent="0" rank="0" text="" dxfId="29">
      <formula>AND(I$1&gt;=$E46,I$1&lt;=$F46,$H46&gt;0)</formula>
    </cfRule>
  </conditionalFormatting>
  <conditionalFormatting sqref="I47:HT47">
    <cfRule type="expression" priority="90" aboveAverage="0" equalAverage="0" bottom="0" percent="0" rank="0" text="" dxfId="28">
      <formula>AND(I$1&gt;=$E47,I$1&lt;=$F47,$H47=0)</formula>
    </cfRule>
    <cfRule type="expression" priority="91" aboveAverage="0" equalAverage="0" bottom="0" percent="0" rank="0" text="" dxfId="29">
      <formula>AND(I$1&gt;=$E47,I$1&lt;=$F47,$H47&gt;0)</formula>
    </cfRule>
  </conditionalFormatting>
  <conditionalFormatting sqref="I48:HT48">
    <cfRule type="expression" priority="92" aboveAverage="0" equalAverage="0" bottom="0" percent="0" rank="0" text="" dxfId="28">
      <formula>AND(I$1&gt;=$E48,I$1&lt;=$F48,$H48=0)</formula>
    </cfRule>
    <cfRule type="expression" priority="93" aboveAverage="0" equalAverage="0" bottom="0" percent="0" rank="0" text="" dxfId="29">
      <formula>AND(I$1&gt;=$E48,I$1&lt;=$F48,$H48&gt;0)</formula>
    </cfRule>
  </conditionalFormatting>
  <conditionalFormatting sqref="I49:HT49">
    <cfRule type="expression" priority="94" aboveAverage="0" equalAverage="0" bottom="0" percent="0" rank="0" text="" dxfId="28">
      <formula>AND(I$1&gt;=$E49,I$1&lt;=$F49,$H49=0)</formula>
    </cfRule>
    <cfRule type="expression" priority="95" aboveAverage="0" equalAverage="0" bottom="0" percent="0" rank="0" text="" dxfId="29">
      <formula>AND(I$1&gt;=$E49,I$1&lt;=$F49,$H49&gt;0)</formula>
    </cfRule>
  </conditionalFormatting>
  <conditionalFormatting sqref="I50:HT50">
    <cfRule type="expression" priority="96" aboveAverage="0" equalAverage="0" bottom="0" percent="0" rank="0" text="" dxfId="28">
      <formula>AND(I$1&gt;=$E50,I$1&lt;=$F50,$H50=0)</formula>
    </cfRule>
    <cfRule type="expression" priority="97" aboveAverage="0" equalAverage="0" bottom="0" percent="0" rank="0" text="" dxfId="29">
      <formula>AND(I$1&gt;=$E50,I$1&lt;=$F50,$H50&gt;0)</formula>
    </cfRule>
  </conditionalFormatting>
  <conditionalFormatting sqref="I51:HT51">
    <cfRule type="expression" priority="98" aboveAverage="0" equalAverage="0" bottom="0" percent="0" rank="0" text="" dxfId="28">
      <formula>AND(I$1&gt;=$E51,I$1&lt;=$F51,$H51=0)</formula>
    </cfRule>
    <cfRule type="expression" priority="99" aboveAverage="0" equalAverage="0" bottom="0" percent="0" rank="0" text="" dxfId="29">
      <formula>AND(I$1&gt;=$E51,I$1&lt;=$F51,$H51&gt;0)</formula>
    </cfRule>
  </conditionalFormatting>
  <conditionalFormatting sqref="I52:HT52">
    <cfRule type="expression" priority="100" aboveAverage="0" equalAverage="0" bottom="0" percent="0" rank="0" text="" dxfId="28">
      <formula>AND(I$1&gt;=$E52,I$1&lt;=$F52,$H52=0)</formula>
    </cfRule>
    <cfRule type="expression" priority="101" aboveAverage="0" equalAverage="0" bottom="0" percent="0" rank="0" text="" dxfId="29">
      <formula>AND(I$1&gt;=$E52,I$1&lt;=$F52,$H52&gt;0)</formula>
    </cfRule>
  </conditionalFormatting>
  <conditionalFormatting sqref="I53:HT53">
    <cfRule type="expression" priority="102" aboveAverage="0" equalAverage="0" bottom="0" percent="0" rank="0" text="" dxfId="28">
      <formula>AND(I$1&gt;=$E53,I$1&lt;=$F53,$H53=0)</formula>
    </cfRule>
    <cfRule type="expression" priority="103" aboveAverage="0" equalAverage="0" bottom="0" percent="0" rank="0" text="" dxfId="29">
      <formula>AND(I$1&gt;=$E53,I$1&lt;=$F53,$H53&gt;0)</formula>
    </cfRule>
  </conditionalFormatting>
  <conditionalFormatting sqref="I54:HT54">
    <cfRule type="expression" priority="104" aboveAverage="0" equalAverage="0" bottom="0" percent="0" rank="0" text="" dxfId="28">
      <formula>AND(I$1&gt;=$E54,I$1&lt;=$F54,$H54=0)</formula>
    </cfRule>
    <cfRule type="expression" priority="105" aboveAverage="0" equalAverage="0" bottom="0" percent="0" rank="0" text="" dxfId="29">
      <formula>AND(I$1&gt;=$E54,I$1&lt;=$F54,$H54&gt;0)</formula>
    </cfRule>
  </conditionalFormatting>
  <conditionalFormatting sqref="I55:HT55">
    <cfRule type="expression" priority="106" aboveAverage="0" equalAverage="0" bottom="0" percent="0" rank="0" text="" dxfId="28">
      <formula>AND(I$1&gt;=$E55,I$1&lt;=$F55,$H55=0)</formula>
    </cfRule>
    <cfRule type="expression" priority="107" aboveAverage="0" equalAverage="0" bottom="0" percent="0" rank="0" text="" dxfId="29">
      <formula>AND(I$1&gt;=$E55,I$1&lt;=$F55,$H55&gt;0)</formula>
    </cfRule>
  </conditionalFormatting>
  <conditionalFormatting sqref="I56:HT56">
    <cfRule type="expression" priority="108" aboveAverage="0" equalAverage="0" bottom="0" percent="0" rank="0" text="" dxfId="28">
      <formula>AND(I$1&gt;=$E56,I$1&lt;=$F56,$H56=0)</formula>
    </cfRule>
    <cfRule type="expression" priority="109" aboveAverage="0" equalAverage="0" bottom="0" percent="0" rank="0" text="" dxfId="29">
      <formula>AND(I$1&gt;=$E56,I$1&lt;=$F56,$H56&gt;0)</formula>
    </cfRule>
  </conditionalFormatting>
  <conditionalFormatting sqref="I57:HT57">
    <cfRule type="expression" priority="110" aboveAverage="0" equalAverage="0" bottom="0" percent="0" rank="0" text="" dxfId="28">
      <formula>AND(I$1&gt;=$E57,I$1&lt;=$F57,$H57=0)</formula>
    </cfRule>
    <cfRule type="expression" priority="111" aboveAverage="0" equalAverage="0" bottom="0" percent="0" rank="0" text="" dxfId="29">
      <formula>AND(I$1&gt;=$E57,I$1&lt;=$F57,$H57&gt;0)</formula>
    </cfRule>
  </conditionalFormatting>
  <conditionalFormatting sqref="I58:HT58">
    <cfRule type="expression" priority="112" aboveAverage="0" equalAverage="0" bottom="0" percent="0" rank="0" text="" dxfId="28">
      <formula>AND(I$1&gt;=$E58,I$1&lt;=$F58,$H58=0)</formula>
    </cfRule>
    <cfRule type="expression" priority="113" aboveAverage="0" equalAverage="0" bottom="0" percent="0" rank="0" text="" dxfId="29">
      <formula>AND(I$1&gt;=$E58,I$1&lt;=$F58,$H58&gt;0)</formula>
    </cfRule>
  </conditionalFormatting>
  <conditionalFormatting sqref="I59:HT59">
    <cfRule type="expression" priority="114" aboveAverage="0" equalAverage="0" bottom="0" percent="0" rank="0" text="" dxfId="28">
      <formula>AND(I$1&gt;=$E59,I$1&lt;=$F59,$H59=0)</formula>
    </cfRule>
    <cfRule type="expression" priority="115" aboveAverage="0" equalAverage="0" bottom="0" percent="0" rank="0" text="" dxfId="29">
      <formula>AND(I$1&gt;=$E59,I$1&lt;=$F59,$H59&gt;0)</formula>
    </cfRule>
  </conditionalFormatting>
  <conditionalFormatting sqref="I60:HT60">
    <cfRule type="expression" priority="116" aboveAverage="0" equalAverage="0" bottom="0" percent="0" rank="0" text="" dxfId="28">
      <formula>AND(I$1&gt;=$E60,I$1&lt;=$F60,$H60=0)</formula>
    </cfRule>
    <cfRule type="expression" priority="117" aboveAverage="0" equalAverage="0" bottom="0" percent="0" rank="0" text="" dxfId="29">
      <formula>AND(I$1&gt;=$E60,I$1&lt;=$F60,$H60&gt;0)</formula>
    </cfRule>
  </conditionalFormatting>
  <conditionalFormatting sqref="I61:HT61">
    <cfRule type="expression" priority="118" aboveAverage="0" equalAverage="0" bottom="0" percent="0" rank="0" text="" dxfId="28">
      <formula>AND(I$1&gt;=$E61,I$1&lt;=$F61,$H61=0)</formula>
    </cfRule>
    <cfRule type="expression" priority="119" aboveAverage="0" equalAverage="0" bottom="0" percent="0" rank="0" text="" dxfId="29">
      <formula>AND(I$1&gt;=$E61,I$1&lt;=$F61,$H61&gt;0)</formula>
    </cfRule>
  </conditionalFormatting>
  <conditionalFormatting sqref="I62:HT62">
    <cfRule type="expression" priority="120" aboveAverage="0" equalAverage="0" bottom="0" percent="0" rank="0" text="" dxfId="28">
      <formula>AND(I$1&gt;=$E62,I$1&lt;=$F62,$H62=0)</formula>
    </cfRule>
    <cfRule type="expression" priority="121" aboveAverage="0" equalAverage="0" bottom="0" percent="0" rank="0" text="" dxfId="29">
      <formula>AND(I$1&gt;=$E62,I$1&lt;=$F62,$H62&gt;0)</formula>
    </cfRule>
  </conditionalFormatting>
  <conditionalFormatting sqref="I63:HT63">
    <cfRule type="expression" priority="122" aboveAverage="0" equalAverage="0" bottom="0" percent="0" rank="0" text="" dxfId="28">
      <formula>AND(I$1&gt;=$E63,I$1&lt;=$F63,$H63=0)</formula>
    </cfRule>
    <cfRule type="expression" priority="123" aboveAverage="0" equalAverage="0" bottom="0" percent="0" rank="0" text="" dxfId="29">
      <formula>AND(I$1&gt;=$E63,I$1&lt;=$F63,$H63&gt;0)</formula>
    </cfRule>
  </conditionalFormatting>
  <conditionalFormatting sqref="I64:HT64">
    <cfRule type="expression" priority="124" aboveAverage="0" equalAverage="0" bottom="0" percent="0" rank="0" text="" dxfId="28">
      <formula>AND(I$1&gt;=$E64,I$1&lt;=$F64,$H64=0)</formula>
    </cfRule>
    <cfRule type="expression" priority="125" aboveAverage="0" equalAverage="0" bottom="0" percent="0" rank="0" text="" dxfId="29">
      <formula>AND(I$1&gt;=$E64,I$1&lt;=$F64,$H64&gt;0)</formula>
    </cfRule>
  </conditionalFormatting>
  <conditionalFormatting sqref="I65:HT65">
    <cfRule type="expression" priority="126" aboveAverage="0" equalAverage="0" bottom="0" percent="0" rank="0" text="" dxfId="28">
      <formula>AND(I$1&gt;=$E65,I$1&lt;=$F65,$H65=0)</formula>
    </cfRule>
    <cfRule type="expression" priority="127" aboveAverage="0" equalAverage="0" bottom="0" percent="0" rank="0" text="" dxfId="29">
      <formula>AND(I$1&gt;=$E65,I$1&lt;=$F65,$H65&gt;0)</formula>
    </cfRule>
  </conditionalFormatting>
  <conditionalFormatting sqref="I66:HT66">
    <cfRule type="expression" priority="128" aboveAverage="0" equalAverage="0" bottom="0" percent="0" rank="0" text="" dxfId="28">
      <formula>AND(I$1&gt;=$E66,I$1&lt;=$F66,$H66=0)</formula>
    </cfRule>
    <cfRule type="expression" priority="129" aboveAverage="0" equalAverage="0" bottom="0" percent="0" rank="0" text="" dxfId="29">
      <formula>AND(I$1&gt;=$E66,I$1&lt;=$F66,$H66&gt;0)</formula>
    </cfRule>
  </conditionalFormatting>
  <conditionalFormatting sqref="I67:HT67">
    <cfRule type="expression" priority="130" aboveAverage="0" equalAverage="0" bottom="0" percent="0" rank="0" text="" dxfId="28">
      <formula>AND(I$1&gt;=$E67,I$1&lt;=$F67,$H67=0)</formula>
    </cfRule>
    <cfRule type="expression" priority="131" aboveAverage="0" equalAverage="0" bottom="0" percent="0" rank="0" text="" dxfId="29">
      <formula>AND(I$1&gt;=$E67,I$1&lt;=$F67,$H67&gt;0)</formula>
    </cfRule>
  </conditionalFormatting>
  <conditionalFormatting sqref="I68:HT68">
    <cfRule type="expression" priority="132" aboveAverage="0" equalAverage="0" bottom="0" percent="0" rank="0" text="" dxfId="28">
      <formula>AND(I$1&gt;=$E68,I$1&lt;=$F68,$H68=0)</formula>
    </cfRule>
    <cfRule type="expression" priority="133" aboveAverage="0" equalAverage="0" bottom="0" percent="0" rank="0" text="" dxfId="29">
      <formula>AND(I$1&gt;=$E68,I$1&lt;=$F68,$H68&gt;0)</formula>
    </cfRule>
  </conditionalFormatting>
  <conditionalFormatting sqref="I69:HT69">
    <cfRule type="expression" priority="134" aboveAverage="0" equalAverage="0" bottom="0" percent="0" rank="0" text="" dxfId="28">
      <formula>AND(I$1&gt;=$E69,I$1&lt;=$F69,$H69=0)</formula>
    </cfRule>
    <cfRule type="expression" priority="135" aboveAverage="0" equalAverage="0" bottom="0" percent="0" rank="0" text="" dxfId="29">
      <formula>AND(I$1&gt;=$E69,I$1&lt;=$F69,$H69&gt;0)</formula>
    </cfRule>
  </conditionalFormatting>
  <conditionalFormatting sqref="I70:HT70">
    <cfRule type="expression" priority="136" aboveAverage="0" equalAverage="0" bottom="0" percent="0" rank="0" text="" dxfId="28">
      <formula>AND(I$1&gt;=$E70,I$1&lt;=$F70,$H70=0)</formula>
    </cfRule>
    <cfRule type="expression" priority="137" aboveAverage="0" equalAverage="0" bottom="0" percent="0" rank="0" text="" dxfId="29">
      <formula>AND(I$1&gt;=$E70,I$1&lt;=$F70,$H70&gt;0)</formula>
    </cfRule>
  </conditionalFormatting>
  <conditionalFormatting sqref="I71:HT71">
    <cfRule type="expression" priority="138" aboveAverage="0" equalAverage="0" bottom="0" percent="0" rank="0" text="" dxfId="28">
      <formula>AND(I$1&gt;=$E71,I$1&lt;=$F71,$H71=0)</formula>
    </cfRule>
    <cfRule type="expression" priority="139" aboveAverage="0" equalAverage="0" bottom="0" percent="0" rank="0" text="" dxfId="29">
      <formula>AND(I$1&gt;=$E71,I$1&lt;=$F71,$H71&gt;0)</formula>
    </cfRule>
  </conditionalFormatting>
  <conditionalFormatting sqref="I72:HT72">
    <cfRule type="expression" priority="140" aboveAverage="0" equalAverage="0" bottom="0" percent="0" rank="0" text="" dxfId="28">
      <formula>AND(I$1&gt;=$E72,I$1&lt;=$F72,$H72=0)</formula>
    </cfRule>
    <cfRule type="expression" priority="141" aboveAverage="0" equalAverage="0" bottom="0" percent="0" rank="0" text="" dxfId="29">
      <formula>AND(I$1&gt;=$E72,I$1&lt;=$F72,$H72&gt;0)</formula>
    </cfRule>
  </conditionalFormatting>
  <conditionalFormatting sqref="I73:HT73">
    <cfRule type="expression" priority="142" aboveAverage="0" equalAverage="0" bottom="0" percent="0" rank="0" text="" dxfId="28">
      <formula>AND(I$1&gt;=$E73,I$1&lt;=$F73,$H73=0)</formula>
    </cfRule>
    <cfRule type="expression" priority="143" aboveAverage="0" equalAverage="0" bottom="0" percent="0" rank="0" text="" dxfId="29">
      <formula>AND(I$1&gt;=$E73,I$1&lt;=$F73,$H73&gt;0)</formula>
    </cfRule>
  </conditionalFormatting>
  <conditionalFormatting sqref="I74:HT74">
    <cfRule type="expression" priority="144" aboveAverage="0" equalAverage="0" bottom="0" percent="0" rank="0" text="" dxfId="28">
      <formula>AND(I$1&gt;=$E74,I$1&lt;=$F74,$H74=0)</formula>
    </cfRule>
    <cfRule type="expression" priority="145" aboveAverage="0" equalAverage="0" bottom="0" percent="0" rank="0" text="" dxfId="29">
      <formula>AND(I$1&gt;=$E74,I$1&lt;=$F74,$H74&gt;0)</formula>
    </cfRule>
  </conditionalFormatting>
  <conditionalFormatting sqref="I75:HT75">
    <cfRule type="expression" priority="146" aboveAverage="0" equalAverage="0" bottom="0" percent="0" rank="0" text="" dxfId="28">
      <formula>AND(I$1&gt;=$E75,I$1&lt;=$F75,$H75=0)</formula>
    </cfRule>
    <cfRule type="expression" priority="147" aboveAverage="0" equalAverage="0" bottom="0" percent="0" rank="0" text="" dxfId="29">
      <formula>AND(I$1&gt;=$E75,I$1&lt;=$F75,$H75&gt;0)</formula>
    </cfRule>
  </conditionalFormatting>
  <conditionalFormatting sqref="I76:HT76">
    <cfRule type="expression" priority="148" aboveAverage="0" equalAverage="0" bottom="0" percent="0" rank="0" text="" dxfId="28">
      <formula>AND(I$1&gt;=$E76,I$1&lt;=$F76,$H76=0)</formula>
    </cfRule>
    <cfRule type="expression" priority="149" aboveAverage="0" equalAverage="0" bottom="0" percent="0" rank="0" text="" dxfId="29">
      <formula>AND(I$1&gt;=$E76,I$1&lt;=$F76,$H76&gt;0)</formula>
    </cfRule>
  </conditionalFormatting>
  <conditionalFormatting sqref="I77:HT77">
    <cfRule type="expression" priority="150" aboveAverage="0" equalAverage="0" bottom="0" percent="0" rank="0" text="" dxfId="28">
      <formula>AND(I$1&gt;=$E77,I$1&lt;=$F77,$H77=0)</formula>
    </cfRule>
    <cfRule type="expression" priority="151" aboveAverage="0" equalAverage="0" bottom="0" percent="0" rank="0" text="" dxfId="29">
      <formula>AND(I$1&gt;=$E77,I$1&lt;=$F77,$H77&gt;0)</formula>
    </cfRule>
  </conditionalFormatting>
  <conditionalFormatting sqref="I78:HT78">
    <cfRule type="expression" priority="152" aboveAverage="0" equalAverage="0" bottom="0" percent="0" rank="0" text="" dxfId="28">
      <formula>AND(I$1&gt;=$E78,I$1&lt;=$F78,$H78=0)</formula>
    </cfRule>
    <cfRule type="expression" priority="153" aboveAverage="0" equalAverage="0" bottom="0" percent="0" rank="0" text="" dxfId="29">
      <formula>AND(I$1&gt;=$E78,I$1&lt;=$F78,$H78&gt;0)</formula>
    </cfRule>
  </conditionalFormatting>
  <conditionalFormatting sqref="I79:HT79">
    <cfRule type="expression" priority="154" aboveAverage="0" equalAverage="0" bottom="0" percent="0" rank="0" text="" dxfId="28">
      <formula>AND(I$1&gt;=$E79,I$1&lt;=$F79,$H79=0)</formula>
    </cfRule>
    <cfRule type="expression" priority="155" aboveAverage="0" equalAverage="0" bottom="0" percent="0" rank="0" text="" dxfId="29">
      <formula>AND(I$1&gt;=$E79,I$1&lt;=$F79,$H79&gt;0)</formula>
    </cfRule>
  </conditionalFormatting>
  <conditionalFormatting sqref="I80:HT80">
    <cfRule type="expression" priority="156" aboveAverage="0" equalAverage="0" bottom="0" percent="0" rank="0" text="" dxfId="28">
      <formula>AND(I$1&gt;=$E80,I$1&lt;=$F80,$H80=0)</formula>
    </cfRule>
    <cfRule type="expression" priority="157" aboveAverage="0" equalAverage="0" bottom="0" percent="0" rank="0" text="" dxfId="29">
      <formula>AND(I$1&gt;=$E80,I$1&lt;=$F80,$H80&gt;0)</formula>
    </cfRule>
  </conditionalFormatting>
  <conditionalFormatting sqref="I81:HT81">
    <cfRule type="expression" priority="158" aboveAverage="0" equalAverage="0" bottom="0" percent="0" rank="0" text="" dxfId="28">
      <formula>AND(I$1&gt;=$E81,I$1&lt;=$F81,$H81=0)</formula>
    </cfRule>
    <cfRule type="expression" priority="159" aboveAverage="0" equalAverage="0" bottom="0" percent="0" rank="0" text="" dxfId="29">
      <formula>AND(I$1&gt;=$E81,I$1&lt;=$F81,$H81&gt;0)</formula>
    </cfRule>
  </conditionalFormatting>
  <conditionalFormatting sqref="I82:HT82">
    <cfRule type="expression" priority="160" aboveAverage="0" equalAverage="0" bottom="0" percent="0" rank="0" text="" dxfId="28">
      <formula>AND(I$1&gt;=$E82,I$1&lt;=$F82,$H82=0)</formula>
    </cfRule>
    <cfRule type="expression" priority="161" aboveAverage="0" equalAverage="0" bottom="0" percent="0" rank="0" text="" dxfId="29">
      <formula>AND(I$1&gt;=$E82,I$1&lt;=$F82,$H82&gt;0)</formula>
    </cfRule>
  </conditionalFormatting>
  <conditionalFormatting sqref="I83:HT83">
    <cfRule type="expression" priority="162" aboveAverage="0" equalAverage="0" bottom="0" percent="0" rank="0" text="" dxfId="28">
      <formula>AND(I$1&gt;=$E83,I$1&lt;=$F83,$H83=0)</formula>
    </cfRule>
    <cfRule type="expression" priority="163" aboveAverage="0" equalAverage="0" bottom="0" percent="0" rank="0" text="" dxfId="29">
      <formula>AND(I$1&gt;=$E83,I$1&lt;=$F83,$H83&gt;0)</formula>
    </cfRule>
  </conditionalFormatting>
  <conditionalFormatting sqref="I84:HT84">
    <cfRule type="expression" priority="164" aboveAverage="0" equalAverage="0" bottom="0" percent="0" rank="0" text="" dxfId="28">
      <formula>AND(I$1&gt;=$E84,I$1&lt;=$F84,$H84=0)</formula>
    </cfRule>
    <cfRule type="expression" priority="165" aboveAverage="0" equalAverage="0" bottom="0" percent="0" rank="0" text="" dxfId="29">
      <formula>AND(I$1&gt;=$E84,I$1&lt;=$F84,$H84&gt;0)</formula>
    </cfRule>
  </conditionalFormatting>
  <conditionalFormatting sqref="I85:HT85">
    <cfRule type="expression" priority="166" aboveAverage="0" equalAverage="0" bottom="0" percent="0" rank="0" text="" dxfId="28">
      <formula>AND(I$1&gt;=$E85,I$1&lt;=$F85,$H85=0)</formula>
    </cfRule>
    <cfRule type="expression" priority="167" aboveAverage="0" equalAverage="0" bottom="0" percent="0" rank="0" text="" dxfId="29">
      <formula>AND(I$1&gt;=$E85,I$1&lt;=$F85,$H85&gt;0)</formula>
    </cfRule>
  </conditionalFormatting>
  <conditionalFormatting sqref="I86:HT86">
    <cfRule type="expression" priority="168" aboveAverage="0" equalAverage="0" bottom="0" percent="0" rank="0" text="" dxfId="28">
      <formula>AND(I$1&gt;=$E86,I$1&lt;=$F86,$H86=0)</formula>
    </cfRule>
    <cfRule type="expression" priority="169" aboveAverage="0" equalAverage="0" bottom="0" percent="0" rank="0" text="" dxfId="29">
      <formula>AND(I$1&gt;=$E86,I$1&lt;=$F86,$H86&gt;0)</formula>
    </cfRule>
  </conditionalFormatting>
  <conditionalFormatting sqref="I87:HT87">
    <cfRule type="expression" priority="170" aboveAverage="0" equalAverage="0" bottom="0" percent="0" rank="0" text="" dxfId="28">
      <formula>AND(I$1&gt;=$E87,I$1&lt;=$F87,$H87=0)</formula>
    </cfRule>
    <cfRule type="expression" priority="171" aboveAverage="0" equalAverage="0" bottom="0" percent="0" rank="0" text="" dxfId="29">
      <formula>AND(I$1&gt;=$E87,I$1&lt;=$F87,$H87&gt;0)</formula>
    </cfRule>
  </conditionalFormatting>
  <conditionalFormatting sqref="I88:HT88">
    <cfRule type="expression" priority="172" aboveAverage="0" equalAverage="0" bottom="0" percent="0" rank="0" text="" dxfId="28">
      <formula>AND(I$1&gt;=$E88,I$1&lt;=$F88,$H88=0)</formula>
    </cfRule>
    <cfRule type="expression" priority="173" aboveAverage="0" equalAverage="0" bottom="0" percent="0" rank="0" text="" dxfId="29">
      <formula>AND(I$1&gt;=$E88,I$1&lt;=$F88,$H88&gt;0)</formula>
    </cfRule>
  </conditionalFormatting>
  <conditionalFormatting sqref="I89:HT89">
    <cfRule type="expression" priority="174" aboveAverage="0" equalAverage="0" bottom="0" percent="0" rank="0" text="" dxfId="28">
      <formula>AND(I$1&gt;=$E89,I$1&lt;=$F89,$H89=0)</formula>
    </cfRule>
    <cfRule type="expression" priority="175" aboveAverage="0" equalAverage="0" bottom="0" percent="0" rank="0" text="" dxfId="29">
      <formula>AND(I$1&gt;=$E89,I$1&lt;=$F89,$H89&gt;0)</formula>
    </cfRule>
  </conditionalFormatting>
  <conditionalFormatting sqref="I90:HT90">
    <cfRule type="expression" priority="176" aboveAverage="0" equalAverage="0" bottom="0" percent="0" rank="0" text="" dxfId="28">
      <formula>AND(I$1&gt;=$E90,I$1&lt;=$F90,$H90=0)</formula>
    </cfRule>
    <cfRule type="expression" priority="177" aboveAverage="0" equalAverage="0" bottom="0" percent="0" rank="0" text="" dxfId="29">
      <formula>AND(I$1&gt;=$E90,I$1&lt;=$F90,$H90&gt;0)</formula>
    </cfRule>
  </conditionalFormatting>
  <conditionalFormatting sqref="I91:HT91">
    <cfRule type="expression" priority="178" aboveAverage="0" equalAverage="0" bottom="0" percent="0" rank="0" text="" dxfId="28">
      <formula>AND(I$1&gt;=$E91,I$1&lt;=$F91,$H91=0)</formula>
    </cfRule>
    <cfRule type="expression" priority="179" aboveAverage="0" equalAverage="0" bottom="0" percent="0" rank="0" text="" dxfId="29">
      <formula>AND(I$1&gt;=$E91,I$1&lt;=$F91,$H91&gt;0)</formula>
    </cfRule>
  </conditionalFormatting>
  <conditionalFormatting sqref="I92:HT92">
    <cfRule type="expression" priority="180" aboveAverage="0" equalAverage="0" bottom="0" percent="0" rank="0" text="" dxfId="28">
      <formula>AND(I$1&gt;=$E92,I$1&lt;=$F92,$H92=0)</formula>
    </cfRule>
    <cfRule type="expression" priority="181" aboveAverage="0" equalAverage="0" bottom="0" percent="0" rank="0" text="" dxfId="29">
      <formula>AND(I$1&gt;=$E92,I$1&lt;=$F92,$H92&gt;0)</formula>
    </cfRule>
  </conditionalFormatting>
  <conditionalFormatting sqref="I93:HT93">
    <cfRule type="expression" priority="182" aboveAverage="0" equalAverage="0" bottom="0" percent="0" rank="0" text="" dxfId="28">
      <formula>AND(I$1&gt;=$E93,I$1&lt;=$F93,$H93=0)</formula>
    </cfRule>
    <cfRule type="expression" priority="183" aboveAverage="0" equalAverage="0" bottom="0" percent="0" rank="0" text="" dxfId="29">
      <formula>AND(I$1&gt;=$E93,I$1&lt;=$F93,$H93&gt;0)</formula>
    </cfRule>
  </conditionalFormatting>
  <conditionalFormatting sqref="I94:HT94">
    <cfRule type="expression" priority="184" aboveAverage="0" equalAverage="0" bottom="0" percent="0" rank="0" text="" dxfId="28">
      <formula>AND(I$1&gt;=$E94,I$1&lt;=$F94,$H94=0)</formula>
    </cfRule>
    <cfRule type="expression" priority="185" aboveAverage="0" equalAverage="0" bottom="0" percent="0" rank="0" text="" dxfId="29">
      <formula>AND(I$1&gt;=$E94,I$1&lt;=$F94,$H94&gt;0)</formula>
    </cfRule>
  </conditionalFormatting>
  <conditionalFormatting sqref="I95:HT95">
    <cfRule type="expression" priority="186" aboveAverage="0" equalAverage="0" bottom="0" percent="0" rank="0" text="" dxfId="28">
      <formula>AND(I$1&gt;=$E95,I$1&lt;=$F95,$H95=0)</formula>
    </cfRule>
    <cfRule type="expression" priority="187" aboveAverage="0" equalAverage="0" bottom="0" percent="0" rank="0" text="" dxfId="29">
      <formula>AND(I$1&gt;=$E95,I$1&lt;=$F95,$H95&gt;0)</formula>
    </cfRule>
  </conditionalFormatting>
  <conditionalFormatting sqref="I96:HT96">
    <cfRule type="expression" priority="188" aboveAverage="0" equalAverage="0" bottom="0" percent="0" rank="0" text="" dxfId="28">
      <formula>AND(I$1&gt;=$E96,I$1&lt;=$F96,$H96=0)</formula>
    </cfRule>
    <cfRule type="expression" priority="189" aboveAverage="0" equalAverage="0" bottom="0" percent="0" rank="0" text="" dxfId="29">
      <formula>AND(I$1&gt;=$E96,I$1&lt;=$F96,$H96&gt;0)</formula>
    </cfRule>
  </conditionalFormatting>
  <conditionalFormatting sqref="I97:HT97">
    <cfRule type="expression" priority="190" aboveAverage="0" equalAverage="0" bottom="0" percent="0" rank="0" text="" dxfId="28">
      <formula>AND(I$1&gt;=$E97,I$1&lt;=$F97,$H97=0)</formula>
    </cfRule>
    <cfRule type="expression" priority="191" aboveAverage="0" equalAverage="0" bottom="0" percent="0" rank="0" text="" dxfId="29">
      <formula>AND(I$1&gt;=$E97,I$1&lt;=$F97,$H97&gt;0)</formula>
    </cfRule>
  </conditionalFormatting>
  <conditionalFormatting sqref="I98:HT98">
    <cfRule type="expression" priority="192" aboveAverage="0" equalAverage="0" bottom="0" percent="0" rank="0" text="" dxfId="28">
      <formula>AND(I$1&gt;=$E98,I$1&lt;=$F98,$H98=0)</formula>
    </cfRule>
    <cfRule type="expression" priority="193" aboveAverage="0" equalAverage="0" bottom="0" percent="0" rank="0" text="" dxfId="29">
      <formula>AND(I$1&gt;=$E98,I$1&lt;=$F98,$H98&gt;0)</formula>
    </cfRule>
  </conditionalFormatting>
  <conditionalFormatting sqref="I99:HT99">
    <cfRule type="expression" priority="194" aboveAverage="0" equalAverage="0" bottom="0" percent="0" rank="0" text="" dxfId="28">
      <formula>AND(I$1&gt;=$E99,I$1&lt;=$F99,$H99=0)</formula>
    </cfRule>
    <cfRule type="expression" priority="195" aboveAverage="0" equalAverage="0" bottom="0" percent="0" rank="0" text="" dxfId="29">
      <formula>AND(I$1&gt;=$E99,I$1&lt;=$F99,$H99&gt;0)</formula>
    </cfRule>
  </conditionalFormatting>
  <conditionalFormatting sqref="I100:HT100">
    <cfRule type="expression" priority="196" aboveAverage="0" equalAverage="0" bottom="0" percent="0" rank="0" text="" dxfId="28">
      <formula>AND(I$1&gt;=$E100,I$1&lt;=$F100,$H100=0)</formula>
    </cfRule>
    <cfRule type="expression" priority="197" aboveAverage="0" equalAverage="0" bottom="0" percent="0" rank="0" text="" dxfId="29">
      <formula>AND(I$1&gt;=$E100,I$1&lt;=$F100,$H100&gt;0)</formula>
    </cfRule>
  </conditionalFormatting>
  <conditionalFormatting sqref="I101:HT101">
    <cfRule type="expression" priority="198" aboveAverage="0" equalAverage="0" bottom="0" percent="0" rank="0" text="" dxfId="28">
      <formula>AND(I$1&gt;=$E101,I$1&lt;=$F101,$H101=0)</formula>
    </cfRule>
    <cfRule type="expression" priority="199" aboveAverage="0" equalAverage="0" bottom="0" percent="0" rank="0" text="" dxfId="29">
      <formula>AND(I$1&gt;=$E101,I$1&lt;=$F101,$H101&gt;0)</formula>
    </cfRule>
  </conditionalFormatting>
  <conditionalFormatting sqref="I102:HT102">
    <cfRule type="expression" priority="200" aboveAverage="0" equalAverage="0" bottom="0" percent="0" rank="0" text="" dxfId="28">
      <formula>AND(I$1&gt;=$E102,I$1&lt;=$F102,$H102=0)</formula>
    </cfRule>
    <cfRule type="expression" priority="201" aboveAverage="0" equalAverage="0" bottom="0" percent="0" rank="0" text="" dxfId="29">
      <formula>AND(I$1&gt;=$E102,I$1&lt;=$F102,$H102&gt;0)</formula>
    </cfRule>
  </conditionalFormatting>
  <conditionalFormatting sqref="I103:HT103">
    <cfRule type="expression" priority="202" aboveAverage="0" equalAverage="0" bottom="0" percent="0" rank="0" text="" dxfId="28">
      <formula>AND(I$1&gt;=$E103,I$1&lt;=$F103,$H103=0)</formula>
    </cfRule>
    <cfRule type="expression" priority="203" aboveAverage="0" equalAverage="0" bottom="0" percent="0" rank="0" text="" dxfId="29">
      <formula>AND(I$1&gt;=$E103,I$1&lt;=$F103,$H103&gt;0)</formula>
    </cfRule>
  </conditionalFormatting>
  <conditionalFormatting sqref="I104:HT104">
    <cfRule type="expression" priority="204" aboveAverage="0" equalAverage="0" bottom="0" percent="0" rank="0" text="" dxfId="28">
      <formula>AND(I$1&gt;=$E104,I$1&lt;=$F104,$H104=0)</formula>
    </cfRule>
    <cfRule type="expression" priority="205" aboveAverage="0" equalAverage="0" bottom="0" percent="0" rank="0" text="" dxfId="29">
      <formula>AND(I$1&gt;=$E104,I$1&lt;=$F104,$H104&gt;0)</formula>
    </cfRule>
  </conditionalFormatting>
  <conditionalFormatting sqref="I105:HT105">
    <cfRule type="expression" priority="206" aboveAverage="0" equalAverage="0" bottom="0" percent="0" rank="0" text="" dxfId="28">
      <formula>AND(I$1&gt;=$E105,I$1&lt;=$F105,$H105=0)</formula>
    </cfRule>
    <cfRule type="expression" priority="207" aboveAverage="0" equalAverage="0" bottom="0" percent="0" rank="0" text="" dxfId="29">
      <formula>AND(I$1&gt;=$E105,I$1&lt;=$F105,$H105&gt;0)</formula>
    </cfRule>
  </conditionalFormatting>
  <conditionalFormatting sqref="I106:HT106">
    <cfRule type="expression" priority="208" aboveAverage="0" equalAverage="0" bottom="0" percent="0" rank="0" text="" dxfId="28">
      <formula>AND(I$1&gt;=$E106,I$1&lt;=$F106,$H106=0)</formula>
    </cfRule>
    <cfRule type="expression" priority="209" aboveAverage="0" equalAverage="0" bottom="0" percent="0" rank="0" text="" dxfId="29">
      <formula>AND(I$1&gt;=$E106,I$1&lt;=$F106,$H106&gt;0)</formula>
    </cfRule>
  </conditionalFormatting>
  <conditionalFormatting sqref="I107:HT107">
    <cfRule type="expression" priority="210" aboveAverage="0" equalAverage="0" bottom="0" percent="0" rank="0" text="" dxfId="28">
      <formula>AND(I$1&gt;=$E107,I$1&lt;=$F107,$H107=0)</formula>
    </cfRule>
    <cfRule type="expression" priority="211" aboveAverage="0" equalAverage="0" bottom="0" percent="0" rank="0" text="" dxfId="29">
      <formula>AND(I$1&gt;=$E107,I$1&lt;=$F107,$H107&gt;0)</formula>
    </cfRule>
  </conditionalFormatting>
  <conditionalFormatting sqref="I108:HT108">
    <cfRule type="expression" priority="212" aboveAverage="0" equalAverage="0" bottom="0" percent="0" rank="0" text="" dxfId="28">
      <formula>AND(I$1&gt;=$E108,I$1&lt;=$F108,$H108=0)</formula>
    </cfRule>
    <cfRule type="expression" priority="213" aboveAverage="0" equalAverage="0" bottom="0" percent="0" rank="0" text="" dxfId="29">
      <formula>AND(I$1&gt;=$E108,I$1&lt;=$F108,$H108&gt;0)</formula>
    </cfRule>
  </conditionalFormatting>
  <conditionalFormatting sqref="I109:HT109">
    <cfRule type="expression" priority="214" aboveAverage="0" equalAverage="0" bottom="0" percent="0" rank="0" text="" dxfId="28">
      <formula>AND(I$1&gt;=$E109,I$1&lt;=$F109,$H109=0)</formula>
    </cfRule>
    <cfRule type="expression" priority="215" aboveAverage="0" equalAverage="0" bottom="0" percent="0" rank="0" text="" dxfId="29">
      <formula>AND(I$1&gt;=$E109,I$1&lt;=$F109,$H109&gt;0)</formula>
    </cfRule>
  </conditionalFormatting>
  <conditionalFormatting sqref="I110:HT110">
    <cfRule type="expression" priority="216" aboveAverage="0" equalAverage="0" bottom="0" percent="0" rank="0" text="" dxfId="28">
      <formula>AND(I$1&gt;=$E110,I$1&lt;=$F110,$H110=0)</formula>
    </cfRule>
    <cfRule type="expression" priority="217" aboveAverage="0" equalAverage="0" bottom="0" percent="0" rank="0" text="" dxfId="29">
      <formula>AND(I$1&gt;=$E110,I$1&lt;=$F110,$H110&gt;0)</formula>
    </cfRule>
  </conditionalFormatting>
  <conditionalFormatting sqref="I111:HT111">
    <cfRule type="expression" priority="218" aboveAverage="0" equalAverage="0" bottom="0" percent="0" rank="0" text="" dxfId="28">
      <formula>AND(I$1&gt;=$E111,I$1&lt;=$F111,$H111=0)</formula>
    </cfRule>
    <cfRule type="expression" priority="219" aboveAverage="0" equalAverage="0" bottom="0" percent="0" rank="0" text="" dxfId="29">
      <formula>AND(I$1&gt;=$E111,I$1&lt;=$F111,$H111&gt;0)</formula>
    </cfRule>
  </conditionalFormatting>
  <conditionalFormatting sqref="I112:HT112">
    <cfRule type="expression" priority="220" aboveAverage="0" equalAverage="0" bottom="0" percent="0" rank="0" text="" dxfId="28">
      <formula>AND(I$1&gt;=$E112,I$1&lt;=$F112,$H112=0)</formula>
    </cfRule>
    <cfRule type="expression" priority="221" aboveAverage="0" equalAverage="0" bottom="0" percent="0" rank="0" text="" dxfId="29">
      <formula>AND(I$1&gt;=$E112,I$1&lt;=$F112,$H112&gt;0)</formula>
    </cfRule>
  </conditionalFormatting>
  <conditionalFormatting sqref="I113:HT113">
    <cfRule type="expression" priority="222" aboveAverage="0" equalAverage="0" bottom="0" percent="0" rank="0" text="" dxfId="28">
      <formula>AND(I$1&gt;=$E113,I$1&lt;=$F113,$H113=0)</formula>
    </cfRule>
    <cfRule type="expression" priority="223" aboveAverage="0" equalAverage="0" bottom="0" percent="0" rank="0" text="" dxfId="29">
      <formula>AND(I$1&gt;=$E113,I$1&lt;=$F113,$H113&gt;0)</formula>
    </cfRule>
  </conditionalFormatting>
  <conditionalFormatting sqref="I114:HT114">
    <cfRule type="expression" priority="224" aboveAverage="0" equalAverage="0" bottom="0" percent="0" rank="0" text="" dxfId="28">
      <formula>AND(I$1&gt;=$E114,I$1&lt;=$F114,$H114=0)</formula>
    </cfRule>
    <cfRule type="expression" priority="225" aboveAverage="0" equalAverage="0" bottom="0" percent="0" rank="0" text="" dxfId="29">
      <formula>AND(I$1&gt;=$E114,I$1&lt;=$F114,$H114&gt;0)</formula>
    </cfRule>
  </conditionalFormatting>
  <conditionalFormatting sqref="I115:HT115">
    <cfRule type="expression" priority="226" aboveAverage="0" equalAverage="0" bottom="0" percent="0" rank="0" text="" dxfId="28">
      <formula>AND(I$1&gt;=$E115,I$1&lt;=$F115,$H115=0)</formula>
    </cfRule>
    <cfRule type="expression" priority="227" aboveAverage="0" equalAverage="0" bottom="0" percent="0" rank="0" text="" dxfId="29">
      <formula>AND(I$1&gt;=$E115,I$1&lt;=$F115,$H115&gt;0)</formula>
    </cfRule>
  </conditionalFormatting>
  <conditionalFormatting sqref="I116:HT116">
    <cfRule type="expression" priority="228" aboveAverage="0" equalAverage="0" bottom="0" percent="0" rank="0" text="" dxfId="28">
      <formula>AND(I$1&gt;=$E116,I$1&lt;=$F116,$H116=0)</formula>
    </cfRule>
    <cfRule type="expression" priority="229" aboveAverage="0" equalAverage="0" bottom="0" percent="0" rank="0" text="" dxfId="29">
      <formula>AND(I$1&gt;=$E116,I$1&lt;=$F116,$H116&gt;0)</formula>
    </cfRule>
  </conditionalFormatting>
  <conditionalFormatting sqref="I117:HT117">
    <cfRule type="expression" priority="230" aboveAverage="0" equalAverage="0" bottom="0" percent="0" rank="0" text="" dxfId="28">
      <formula>AND(I$1&gt;=$E117,I$1&lt;=$F117,$H117=0)</formula>
    </cfRule>
    <cfRule type="expression" priority="231" aboveAverage="0" equalAverage="0" bottom="0" percent="0" rank="0" text="" dxfId="29">
      <formula>AND(I$1&gt;=$E117,I$1&lt;=$F117,$H117&gt;0)</formula>
    </cfRule>
  </conditionalFormatting>
  <conditionalFormatting sqref="I118:HT118">
    <cfRule type="expression" priority="232" aboveAverage="0" equalAverage="0" bottom="0" percent="0" rank="0" text="" dxfId="28">
      <formula>AND(I$1&gt;=$E118,I$1&lt;=$F118,$H118=0)</formula>
    </cfRule>
    <cfRule type="expression" priority="233" aboveAverage="0" equalAverage="0" bottom="0" percent="0" rank="0" text="" dxfId="29">
      <formula>AND(I$1&gt;=$E118,I$1&lt;=$F118,$H118&gt;0)</formula>
    </cfRule>
  </conditionalFormatting>
  <conditionalFormatting sqref="I119:HT119">
    <cfRule type="expression" priority="234" aboveAverage="0" equalAverage="0" bottom="0" percent="0" rank="0" text="" dxfId="28">
      <formula>AND(I$1&gt;=$E119,I$1&lt;=$F119,$H119=0)</formula>
    </cfRule>
    <cfRule type="expression" priority="235" aboveAverage="0" equalAverage="0" bottom="0" percent="0" rank="0" text="" dxfId="29">
      <formula>AND(I$1&gt;=$E119,I$1&lt;=$F119,$H119&gt;0)</formula>
    </cfRule>
  </conditionalFormatting>
  <conditionalFormatting sqref="I120:HT120">
    <cfRule type="expression" priority="236" aboveAverage="0" equalAverage="0" bottom="0" percent="0" rank="0" text="" dxfId="28">
      <formula>AND(I$1&gt;=$E120,I$1&lt;=$F120,$H120=0)</formula>
    </cfRule>
    <cfRule type="expression" priority="237" aboveAverage="0" equalAverage="0" bottom="0" percent="0" rank="0" text="" dxfId="29">
      <formula>AND(I$1&gt;=$E120,I$1&lt;=$F120,$H120&gt;0)</formula>
    </cfRule>
  </conditionalFormatting>
  <conditionalFormatting sqref="I121:HT121">
    <cfRule type="expression" priority="238" aboveAverage="0" equalAverage="0" bottom="0" percent="0" rank="0" text="" dxfId="28">
      <formula>AND(I$1&gt;=$E121,I$1&lt;=$F121,$H121=0)</formula>
    </cfRule>
    <cfRule type="expression" priority="239" aboveAverage="0" equalAverage="0" bottom="0" percent="0" rank="0" text="" dxfId="29">
      <formula>AND(I$1&gt;=$E121,I$1&lt;=$F121,$H121&gt;0)</formula>
    </cfRule>
  </conditionalFormatting>
  <conditionalFormatting sqref="I122:HT122">
    <cfRule type="expression" priority="240" aboveAverage="0" equalAverage="0" bottom="0" percent="0" rank="0" text="" dxfId="28">
      <formula>AND(I$1&gt;=$E122,I$1&lt;=$F122,$H122=0)</formula>
    </cfRule>
    <cfRule type="expression" priority="241" aboveAverage="0" equalAverage="0" bottom="0" percent="0" rank="0" text="" dxfId="29">
      <formula>AND(I$1&gt;=$E122,I$1&lt;=$F122,$H122&gt;0)</formula>
    </cfRule>
  </conditionalFormatting>
  <conditionalFormatting sqref="I123:HT123">
    <cfRule type="expression" priority="242" aboveAverage="0" equalAverage="0" bottom="0" percent="0" rank="0" text="" dxfId="28">
      <formula>AND(I$1&gt;=$E123,I$1&lt;=$F123,$H123=0)</formula>
    </cfRule>
    <cfRule type="expression" priority="243" aboveAverage="0" equalAverage="0" bottom="0" percent="0" rank="0" text="" dxfId="29">
      <formula>AND(I$1&gt;=$E123,I$1&lt;=$F123,$H123&gt;0)</formula>
    </cfRule>
  </conditionalFormatting>
  <conditionalFormatting sqref="I124:HT124">
    <cfRule type="expression" priority="244" aboveAverage="0" equalAverage="0" bottom="0" percent="0" rank="0" text="" dxfId="28">
      <formula>AND(I$1&gt;=$E124,I$1&lt;=$F124,$H124=0)</formula>
    </cfRule>
    <cfRule type="expression" priority="245" aboveAverage="0" equalAverage="0" bottom="0" percent="0" rank="0" text="" dxfId="29">
      <formula>AND(I$1&gt;=$E124,I$1&lt;=$F124,$H124&gt;0)</formula>
    </cfRule>
  </conditionalFormatting>
  <conditionalFormatting sqref="I125:HT125">
    <cfRule type="expression" priority="246" aboveAverage="0" equalAverage="0" bottom="0" percent="0" rank="0" text="" dxfId="28">
      <formula>AND(I$1&gt;=$E125,I$1&lt;=$F125,$H125=0)</formula>
    </cfRule>
    <cfRule type="expression" priority="247" aboveAverage="0" equalAverage="0" bottom="0" percent="0" rank="0" text="" dxfId="29">
      <formula>AND(I$1&gt;=$E125,I$1&lt;=$F125,$H125&gt;0)</formula>
    </cfRule>
  </conditionalFormatting>
  <conditionalFormatting sqref="I126:HT126">
    <cfRule type="expression" priority="248" aboveAverage="0" equalAverage="0" bottom="0" percent="0" rank="0" text="" dxfId="28">
      <formula>AND(I$1&gt;=$E126,I$1&lt;=$F126,$H126=0)</formula>
    </cfRule>
    <cfRule type="expression" priority="249" aboveAverage="0" equalAverage="0" bottom="0" percent="0" rank="0" text="" dxfId="29">
      <formula>AND(I$1&gt;=$E126,I$1&lt;=$F126,$H126&gt;0)</formula>
    </cfRule>
  </conditionalFormatting>
  <conditionalFormatting sqref="I127:HT127">
    <cfRule type="expression" priority="250" aboveAverage="0" equalAverage="0" bottom="0" percent="0" rank="0" text="" dxfId="28">
      <formula>AND(I$1&gt;=$E127,I$1&lt;=$F127,$H127=0)</formula>
    </cfRule>
    <cfRule type="expression" priority="251" aboveAverage="0" equalAverage="0" bottom="0" percent="0" rank="0" text="" dxfId="29">
      <formula>AND(I$1&gt;=$E127,I$1&lt;=$F127,$H127&gt;0)</formula>
    </cfRule>
  </conditionalFormatting>
  <conditionalFormatting sqref="I128:HT128">
    <cfRule type="expression" priority="252" aboveAverage="0" equalAverage="0" bottom="0" percent="0" rank="0" text="" dxfId="28">
      <formula>AND(I$1&gt;=$E128,I$1&lt;=$F128,$H128=0)</formula>
    </cfRule>
    <cfRule type="expression" priority="253" aboveAverage="0" equalAverage="0" bottom="0" percent="0" rank="0" text="" dxfId="29">
      <formula>AND(I$1&gt;=$E128,I$1&lt;=$F128,$H128&gt;0)</formula>
    </cfRule>
  </conditionalFormatting>
  <conditionalFormatting sqref="I129:HT129">
    <cfRule type="expression" priority="254" aboveAverage="0" equalAverage="0" bottom="0" percent="0" rank="0" text="" dxfId="28">
      <formula>AND(I$1&gt;=$E129,I$1&lt;=$F129,$H129=0)</formula>
    </cfRule>
    <cfRule type="expression" priority="255" aboveAverage="0" equalAverage="0" bottom="0" percent="0" rank="0" text="" dxfId="29">
      <formula>AND(I$1&gt;=$E129,I$1&lt;=$F129,$H129&gt;0)</formula>
    </cfRule>
  </conditionalFormatting>
  <conditionalFormatting sqref="I130:HT130">
    <cfRule type="expression" priority="256" aboveAverage="0" equalAverage="0" bottom="0" percent="0" rank="0" text="" dxfId="28">
      <formula>AND(I$1&gt;=$E130,I$1&lt;=$F130,$H130=0)</formula>
    </cfRule>
    <cfRule type="expression" priority="257" aboveAverage="0" equalAverage="0" bottom="0" percent="0" rank="0" text="" dxfId="29">
      <formula>AND(I$1&gt;=$E130,I$1&lt;=$F130,$H130&gt;0)</formula>
    </cfRule>
  </conditionalFormatting>
  <conditionalFormatting sqref="I131:HT131">
    <cfRule type="expression" priority="258" aboveAverage="0" equalAverage="0" bottom="0" percent="0" rank="0" text="" dxfId="28">
      <formula>AND(I$1&gt;=$E131,I$1&lt;=$F131,$H131=0)</formula>
    </cfRule>
    <cfRule type="expression" priority="259" aboveAverage="0" equalAverage="0" bottom="0" percent="0" rank="0" text="" dxfId="29">
      <formula>AND(I$1&gt;=$E131,I$1&lt;=$F131,$H131&gt;0)</formula>
    </cfRule>
  </conditionalFormatting>
  <conditionalFormatting sqref="I132:HT132">
    <cfRule type="expression" priority="260" aboveAverage="0" equalAverage="0" bottom="0" percent="0" rank="0" text="" dxfId="28">
      <formula>AND(I$1&gt;=$E132,I$1&lt;=$F132,$H132=0)</formula>
    </cfRule>
    <cfRule type="expression" priority="261" aboveAverage="0" equalAverage="0" bottom="0" percent="0" rank="0" text="" dxfId="29">
      <formula>AND(I$1&gt;=$E132,I$1&lt;=$F132,$H132&gt;0)</formula>
    </cfRule>
  </conditionalFormatting>
  <conditionalFormatting sqref="I133:HT133">
    <cfRule type="expression" priority="262" aboveAverage="0" equalAverage="0" bottom="0" percent="0" rank="0" text="" dxfId="28">
      <formula>AND(I$1&gt;=$E133,I$1&lt;=$F133,$H133=0)</formula>
    </cfRule>
    <cfRule type="expression" priority="263" aboveAverage="0" equalAverage="0" bottom="0" percent="0" rank="0" text="" dxfId="29">
      <formula>AND(I$1&gt;=$E133,I$1&lt;=$F133,$H133&gt;0)</formula>
    </cfRule>
  </conditionalFormatting>
  <conditionalFormatting sqref="I134:HT134">
    <cfRule type="expression" priority="264" aboveAverage="0" equalAverage="0" bottom="0" percent="0" rank="0" text="" dxfId="28">
      <formula>AND(I$1&gt;=$E134,I$1&lt;=$F134,$H134=0)</formula>
    </cfRule>
    <cfRule type="expression" priority="265" aboveAverage="0" equalAverage="0" bottom="0" percent="0" rank="0" text="" dxfId="29">
      <formula>AND(I$1&gt;=$E134,I$1&lt;=$F134,$H134&gt;0)</formula>
    </cfRule>
  </conditionalFormatting>
  <conditionalFormatting sqref="I135:HT135">
    <cfRule type="expression" priority="266" aboveAverage="0" equalAverage="0" bottom="0" percent="0" rank="0" text="" dxfId="28">
      <formula>AND(I$1&gt;=$E135,I$1&lt;=$F135,$H135=0)</formula>
    </cfRule>
    <cfRule type="expression" priority="267" aboveAverage="0" equalAverage="0" bottom="0" percent="0" rank="0" text="" dxfId="29">
      <formula>AND(I$1&gt;=$E135,I$1&lt;=$F135,$H135&gt;0)</formula>
    </cfRule>
  </conditionalFormatting>
  <conditionalFormatting sqref="I136:HT136">
    <cfRule type="expression" priority="268" aboveAverage="0" equalAverage="0" bottom="0" percent="0" rank="0" text="" dxfId="28">
      <formula>AND(I$1&gt;=$E136,I$1&lt;=$F136,$H136=0)</formula>
    </cfRule>
    <cfRule type="expression" priority="269" aboveAverage="0" equalAverage="0" bottom="0" percent="0" rank="0" text="" dxfId="29">
      <formula>AND(I$1&gt;=$E136,I$1&lt;=$F136,$H136&gt;0)</formula>
    </cfRule>
  </conditionalFormatting>
  <conditionalFormatting sqref="I137:HT137">
    <cfRule type="expression" priority="270" aboveAverage="0" equalAverage="0" bottom="0" percent="0" rank="0" text="" dxfId="28">
      <formula>AND(I$1&gt;=$E137,I$1&lt;=$F137,$H137=0)</formula>
    </cfRule>
    <cfRule type="expression" priority="271" aboveAverage="0" equalAverage="0" bottom="0" percent="0" rank="0" text="" dxfId="29">
      <formula>AND(I$1&gt;=$E137,I$1&lt;=$F137,$H137&gt;0)</formula>
    </cfRule>
  </conditionalFormatting>
  <conditionalFormatting sqref="I138:HT138">
    <cfRule type="expression" priority="272" aboveAverage="0" equalAverage="0" bottom="0" percent="0" rank="0" text="" dxfId="28">
      <formula>AND(I$1&gt;=$E138,I$1&lt;=$F138,$H138=0)</formula>
    </cfRule>
    <cfRule type="expression" priority="273" aboveAverage="0" equalAverage="0" bottom="0" percent="0" rank="0" text="" dxfId="29">
      <formula>AND(I$1&gt;=$E138,I$1&lt;=$F138,$H138&gt;0)</formula>
    </cfRule>
  </conditionalFormatting>
  <conditionalFormatting sqref="I139:HT139">
    <cfRule type="expression" priority="274" aboveAverage="0" equalAverage="0" bottom="0" percent="0" rank="0" text="" dxfId="28">
      <formula>AND(I$1&gt;=$E139,I$1&lt;=$F139,$H139=0)</formula>
    </cfRule>
    <cfRule type="expression" priority="275" aboveAverage="0" equalAverage="0" bottom="0" percent="0" rank="0" text="" dxfId="29">
      <formula>AND(I$1&gt;=$E139,I$1&lt;=$F139,$H139&gt;0)</formula>
    </cfRule>
  </conditionalFormatting>
  <conditionalFormatting sqref="I140:HT140">
    <cfRule type="expression" priority="276" aboveAverage="0" equalAverage="0" bottom="0" percent="0" rank="0" text="" dxfId="28">
      <formula>AND(I$1&gt;=$E140,I$1&lt;=$F140,$H140=0)</formula>
    </cfRule>
    <cfRule type="expression" priority="277" aboveAverage="0" equalAverage="0" bottom="0" percent="0" rank="0" text="" dxfId="29">
      <formula>AND(I$1&gt;=$E140,I$1&lt;=$F140,$H140&gt;0)</formula>
    </cfRule>
  </conditionalFormatting>
  <conditionalFormatting sqref="I141:HT141">
    <cfRule type="expression" priority="278" aboveAverage="0" equalAverage="0" bottom="0" percent="0" rank="0" text="" dxfId="28">
      <formula>AND(I$1&gt;=$E141,I$1&lt;=$F141,$H141=0)</formula>
    </cfRule>
    <cfRule type="expression" priority="279" aboveAverage="0" equalAverage="0" bottom="0" percent="0" rank="0" text="" dxfId="29">
      <formula>AND(I$1&gt;=$E141,I$1&lt;=$F141,$H141&gt;0)</formula>
    </cfRule>
  </conditionalFormatting>
  <conditionalFormatting sqref="I142:HT142">
    <cfRule type="expression" priority="280" aboveAverage="0" equalAverage="0" bottom="0" percent="0" rank="0" text="" dxfId="28">
      <formula>AND(I$1&gt;=$E142,I$1&lt;=$F142,$H142=0)</formula>
    </cfRule>
    <cfRule type="expression" priority="281" aboveAverage="0" equalAverage="0" bottom="0" percent="0" rank="0" text="" dxfId="29">
      <formula>AND(I$1&gt;=$E142,I$1&lt;=$F142,$H142&gt;0)</formula>
    </cfRule>
  </conditionalFormatting>
  <conditionalFormatting sqref="I143:HT143">
    <cfRule type="expression" priority="282" aboveAverage="0" equalAverage="0" bottom="0" percent="0" rank="0" text="" dxfId="28">
      <formula>AND(I$1&gt;=$E143,I$1&lt;=$F143,$H143=0)</formula>
    </cfRule>
    <cfRule type="expression" priority="283" aboveAverage="0" equalAverage="0" bottom="0" percent="0" rank="0" text="" dxfId="29">
      <formula>AND(I$1&gt;=$E143,I$1&lt;=$F143,$H143&gt;0)</formula>
    </cfRule>
  </conditionalFormatting>
  <conditionalFormatting sqref="I144:HT144">
    <cfRule type="expression" priority="284" aboveAverage="0" equalAverage="0" bottom="0" percent="0" rank="0" text="" dxfId="28">
      <formula>AND(I$1&gt;=$E144,I$1&lt;=$F144,$H144=0)</formula>
    </cfRule>
    <cfRule type="expression" priority="285" aboveAverage="0" equalAverage="0" bottom="0" percent="0" rank="0" text="" dxfId="29">
      <formula>AND(I$1&gt;=$E144,I$1&lt;=$F144,$H144&gt;0)</formula>
    </cfRule>
  </conditionalFormatting>
  <conditionalFormatting sqref="I145:HT145">
    <cfRule type="expression" priority="286" aboveAverage="0" equalAverage="0" bottom="0" percent="0" rank="0" text="" dxfId="28">
      <formula>AND(I$1&gt;=$E145,I$1&lt;=$F145,$H145=0)</formula>
    </cfRule>
    <cfRule type="expression" priority="287" aboveAverage="0" equalAverage="0" bottom="0" percent="0" rank="0" text="" dxfId="29">
      <formula>AND(I$1&gt;=$E145,I$1&lt;=$F145,$H145&gt;0)</formula>
    </cfRule>
  </conditionalFormatting>
  <conditionalFormatting sqref="I146:HT146">
    <cfRule type="expression" priority="288" aboveAverage="0" equalAverage="0" bottom="0" percent="0" rank="0" text="" dxfId="28">
      <formula>AND(I$1&gt;=$E146,I$1&lt;=$F146,$H146=0)</formula>
    </cfRule>
    <cfRule type="expression" priority="289" aboveAverage="0" equalAverage="0" bottom="0" percent="0" rank="0" text="" dxfId="29">
      <formula>AND(I$1&gt;=$E146,I$1&lt;=$F146,$H146&gt;0)</formula>
    </cfRule>
  </conditionalFormatting>
  <conditionalFormatting sqref="I147:HT147">
    <cfRule type="expression" priority="290" aboveAverage="0" equalAverage="0" bottom="0" percent="0" rank="0" text="" dxfId="28">
      <formula>AND(I$1&gt;=$E147,I$1&lt;=$F147,$H147=0)</formula>
    </cfRule>
    <cfRule type="expression" priority="291" aboveAverage="0" equalAverage="0" bottom="0" percent="0" rank="0" text="" dxfId="29">
      <formula>AND(I$1&gt;=$E147,I$1&lt;=$F147,$H147&gt;0)</formula>
    </cfRule>
  </conditionalFormatting>
  <conditionalFormatting sqref="I148:HT148">
    <cfRule type="expression" priority="292" aboveAverage="0" equalAverage="0" bottom="0" percent="0" rank="0" text="" dxfId="28">
      <formula>AND(I$1&gt;=$E148,I$1&lt;=$F148,$H148=0)</formula>
    </cfRule>
    <cfRule type="expression" priority="293" aboveAverage="0" equalAverage="0" bottom="0" percent="0" rank="0" text="" dxfId="29">
      <formula>AND(I$1&gt;=$E148,I$1&lt;=$F148,$H148&gt;0)</formula>
    </cfRule>
  </conditionalFormatting>
  <conditionalFormatting sqref="I149:HT149">
    <cfRule type="expression" priority="294" aboveAverage="0" equalAverage="0" bottom="0" percent="0" rank="0" text="" dxfId="28">
      <formula>AND(I$1&gt;=$E149,I$1&lt;=$F149,$H149=0)</formula>
    </cfRule>
    <cfRule type="expression" priority="295" aboveAverage="0" equalAverage="0" bottom="0" percent="0" rank="0" text="" dxfId="29">
      <formula>AND(I$1&gt;=$E149,I$1&lt;=$F149,$H149&gt;0)</formula>
    </cfRule>
  </conditionalFormatting>
  <conditionalFormatting sqref="I150:HT150">
    <cfRule type="expression" priority="296" aboveAverage="0" equalAverage="0" bottom="0" percent="0" rank="0" text="" dxfId="28">
      <formula>AND(I$1&gt;=$E150,I$1&lt;=$F150,$H150=0)</formula>
    </cfRule>
    <cfRule type="expression" priority="297" aboveAverage="0" equalAverage="0" bottom="0" percent="0" rank="0" text="" dxfId="29">
      <formula>AND(I$1&gt;=$E150,I$1&lt;=$F150,$H150&gt;0)</formula>
    </cfRule>
  </conditionalFormatting>
  <conditionalFormatting sqref="I151:HT151">
    <cfRule type="expression" priority="298" aboveAverage="0" equalAverage="0" bottom="0" percent="0" rank="0" text="" dxfId="28">
      <formula>AND(I$1&gt;=$E151,I$1&lt;=$F151,$H151=0)</formula>
    </cfRule>
    <cfRule type="expression" priority="299" aboveAverage="0" equalAverage="0" bottom="0" percent="0" rank="0" text="" dxfId="29">
      <formula>AND(I$1&gt;=$E151,I$1&lt;=$F151,$H151&gt;0)</formula>
    </cfRule>
  </conditionalFormatting>
  <conditionalFormatting sqref="I152:HT152">
    <cfRule type="expression" priority="300" aboveAverage="0" equalAverage="0" bottom="0" percent="0" rank="0" text="" dxfId="28">
      <formula>AND(I$1&gt;=$E152,I$1&lt;=$F152,$H152=0)</formula>
    </cfRule>
    <cfRule type="expression" priority="301" aboveAverage="0" equalAverage="0" bottom="0" percent="0" rank="0" text="" dxfId="29">
      <formula>AND(I$1&gt;=$E152,I$1&lt;=$F152,$H152&gt;0)</formula>
    </cfRule>
  </conditionalFormatting>
  <conditionalFormatting sqref="I153:HT153">
    <cfRule type="expression" priority="302" aboveAverage="0" equalAverage="0" bottom="0" percent="0" rank="0" text="" dxfId="28">
      <formula>AND(I$1&gt;=$E153,I$1&lt;=$F153,$H153=0)</formula>
    </cfRule>
    <cfRule type="expression" priority="303" aboveAverage="0" equalAverage="0" bottom="0" percent="0" rank="0" text="" dxfId="29">
      <formula>AND(I$1&gt;=$E153,I$1&lt;=$F153,$H153&gt;0)</formula>
    </cfRule>
  </conditionalFormatting>
  <conditionalFormatting sqref="I154:HT154">
    <cfRule type="expression" priority="304" aboveAverage="0" equalAverage="0" bottom="0" percent="0" rank="0" text="" dxfId="28">
      <formula>AND(I$1&gt;=$E154,I$1&lt;=$F154,$H154=0)</formula>
    </cfRule>
    <cfRule type="expression" priority="305" aboveAverage="0" equalAverage="0" bottom="0" percent="0" rank="0" text="" dxfId="29">
      <formula>AND(I$1&gt;=$E154,I$1&lt;=$F154,$H154&gt;0)</formula>
    </cfRule>
  </conditionalFormatting>
  <conditionalFormatting sqref="I155:HT155">
    <cfRule type="expression" priority="306" aboveAverage="0" equalAverage="0" bottom="0" percent="0" rank="0" text="" dxfId="28">
      <formula>AND(I$1&gt;=$E155,I$1&lt;=$F155,$H155=0)</formula>
    </cfRule>
    <cfRule type="expression" priority="307" aboveAverage="0" equalAverage="0" bottom="0" percent="0" rank="0" text="" dxfId="29">
      <formula>AND(I$1&gt;=$E155,I$1&lt;=$F155,$H155&gt;0)</formula>
    </cfRule>
  </conditionalFormatting>
  <conditionalFormatting sqref="I156:HT156">
    <cfRule type="expression" priority="308" aboveAverage="0" equalAverage="0" bottom="0" percent="0" rank="0" text="" dxfId="28">
      <formula>AND(I$1&gt;=$E156,I$1&lt;=$F156,$H156=0)</formula>
    </cfRule>
    <cfRule type="expression" priority="309" aboveAverage="0" equalAverage="0" bottom="0" percent="0" rank="0" text="" dxfId="29">
      <formula>AND(I$1&gt;=$E156,I$1&lt;=$F156,$H156&gt;0)</formula>
    </cfRule>
  </conditionalFormatting>
  <conditionalFormatting sqref="I157:HT157">
    <cfRule type="expression" priority="310" aboveAverage="0" equalAverage="0" bottom="0" percent="0" rank="0" text="" dxfId="28">
      <formula>AND(I$1&gt;=$E157,I$1&lt;=$F157,$H157=0)</formula>
    </cfRule>
    <cfRule type="expression" priority="311" aboveAverage="0" equalAverage="0" bottom="0" percent="0" rank="0" text="" dxfId="29">
      <formula>AND(I$1&gt;=$E157,I$1&lt;=$F157,$H157&gt;0)</formula>
    </cfRule>
  </conditionalFormatting>
  <conditionalFormatting sqref="I158:HT158">
    <cfRule type="expression" priority="312" aboveAverage="0" equalAverage="0" bottom="0" percent="0" rank="0" text="" dxfId="28">
      <formula>AND(I$1&gt;=$E158,I$1&lt;=$F158,$H158=0)</formula>
    </cfRule>
    <cfRule type="expression" priority="313" aboveAverage="0" equalAverage="0" bottom="0" percent="0" rank="0" text="" dxfId="29">
      <formula>AND(I$1&gt;=$E158,I$1&lt;=$F158,$H158&gt;0)</formula>
    </cfRule>
  </conditionalFormatting>
  <conditionalFormatting sqref="I159:HT159">
    <cfRule type="expression" priority="314" aboveAverage="0" equalAverage="0" bottom="0" percent="0" rank="0" text="" dxfId="28">
      <formula>AND(I$1&gt;=$E159,I$1&lt;=$F159,$H159=0)</formula>
    </cfRule>
    <cfRule type="expression" priority="315" aboveAverage="0" equalAverage="0" bottom="0" percent="0" rank="0" text="" dxfId="29">
      <formula>AND(I$1&gt;=$E159,I$1&lt;=$F159,$H159&gt;0)</formula>
    </cfRule>
  </conditionalFormatting>
  <conditionalFormatting sqref="I160:HT160">
    <cfRule type="expression" priority="316" aboveAverage="0" equalAverage="0" bottom="0" percent="0" rank="0" text="" dxfId="28">
      <formula>AND(I$1&gt;=$E160,I$1&lt;=$F160,$H160=0)</formula>
    </cfRule>
    <cfRule type="expression" priority="317" aboveAverage="0" equalAverage="0" bottom="0" percent="0" rank="0" text="" dxfId="29">
      <formula>AND(I$1&gt;=$E160,I$1&lt;=$F160,$H160&gt;0)</formula>
    </cfRule>
  </conditionalFormatting>
  <conditionalFormatting sqref="I161:HT161">
    <cfRule type="expression" priority="318" aboveAverage="0" equalAverage="0" bottom="0" percent="0" rank="0" text="" dxfId="28">
      <formula>AND(I$1&gt;=$E161,I$1&lt;=$F161,$H161=0)</formula>
    </cfRule>
    <cfRule type="expression" priority="319" aboveAverage="0" equalAverage="0" bottom="0" percent="0" rank="0" text="" dxfId="29">
      <formula>AND(I$1&gt;=$E161,I$1&lt;=$F161,$H161&gt;0)</formula>
    </cfRule>
  </conditionalFormatting>
  <conditionalFormatting sqref="I162:HT162">
    <cfRule type="expression" priority="320" aboveAverage="0" equalAverage="0" bottom="0" percent="0" rank="0" text="" dxfId="28">
      <formula>AND(I$1&gt;=$E162,I$1&lt;=$F162,$H162=0)</formula>
    </cfRule>
    <cfRule type="expression" priority="321" aboveAverage="0" equalAverage="0" bottom="0" percent="0" rank="0" text="" dxfId="29">
      <formula>AND(I$1&gt;=$E162,I$1&lt;=$F162,$H162&gt;0)</formula>
    </cfRule>
  </conditionalFormatting>
  <conditionalFormatting sqref="I163:HT163">
    <cfRule type="expression" priority="322" aboveAverage="0" equalAverage="0" bottom="0" percent="0" rank="0" text="" dxfId="28">
      <formula>AND(I$1&gt;=$E163,I$1&lt;=$F163,$H163=0)</formula>
    </cfRule>
    <cfRule type="expression" priority="323" aboveAverage="0" equalAverage="0" bottom="0" percent="0" rank="0" text="" dxfId="29">
      <formula>AND(I$1&gt;=$E163,I$1&lt;=$F163,$H163&gt;0)</formula>
    </cfRule>
  </conditionalFormatting>
  <conditionalFormatting sqref="I164:HT164">
    <cfRule type="expression" priority="324" aboveAverage="0" equalAverage="0" bottom="0" percent="0" rank="0" text="" dxfId="28">
      <formula>AND(I$1&gt;=$E164,I$1&lt;=$F164,$H164=0)</formula>
    </cfRule>
    <cfRule type="expression" priority="325" aboveAverage="0" equalAverage="0" bottom="0" percent="0" rank="0" text="" dxfId="29">
      <formula>AND(I$1&gt;=$E164,I$1&lt;=$F164,$H164&gt;0)</formula>
    </cfRule>
  </conditionalFormatting>
  <conditionalFormatting sqref="I165:HT165">
    <cfRule type="expression" priority="326" aboveAverage="0" equalAverage="0" bottom="0" percent="0" rank="0" text="" dxfId="28">
      <formula>AND(I$1&gt;=$E165,I$1&lt;=$F165,$H165=0)</formula>
    </cfRule>
    <cfRule type="expression" priority="327" aboveAverage="0" equalAverage="0" bottom="0" percent="0" rank="0" text="" dxfId="29">
      <formula>AND(I$1&gt;=$E165,I$1&lt;=$F165,$H165&gt;0)</formula>
    </cfRule>
  </conditionalFormatting>
  <conditionalFormatting sqref="I166:HT166">
    <cfRule type="expression" priority="328" aboveAverage="0" equalAverage="0" bottom="0" percent="0" rank="0" text="" dxfId="28">
      <formula>AND(I$1&gt;=$E166,I$1&lt;=$F166,$H166=0)</formula>
    </cfRule>
    <cfRule type="expression" priority="329" aboveAverage="0" equalAverage="0" bottom="0" percent="0" rank="0" text="" dxfId="29">
      <formula>AND(I$1&gt;=$E166,I$1&lt;=$F166,$H166&gt;0)</formula>
    </cfRule>
  </conditionalFormatting>
  <conditionalFormatting sqref="I167:HT167">
    <cfRule type="expression" priority="330" aboveAverage="0" equalAverage="0" bottom="0" percent="0" rank="0" text="" dxfId="28">
      <formula>AND(I$1&gt;=$E167,I$1&lt;=$F167,$H167=0)</formula>
    </cfRule>
    <cfRule type="expression" priority="331" aboveAverage="0" equalAverage="0" bottom="0" percent="0" rank="0" text="" dxfId="29">
      <formula>AND(I$1&gt;=$E167,I$1&lt;=$F167,$H167&gt;0)</formula>
    </cfRule>
  </conditionalFormatting>
  <conditionalFormatting sqref="I168:HT168">
    <cfRule type="expression" priority="332" aboveAverage="0" equalAverage="0" bottom="0" percent="0" rank="0" text="" dxfId="28">
      <formula>AND(I$1&gt;=$E168,I$1&lt;=$F168,$H168=0)</formula>
    </cfRule>
    <cfRule type="expression" priority="333" aboveAverage="0" equalAverage="0" bottom="0" percent="0" rank="0" text="" dxfId="29">
      <formula>AND(I$1&gt;=$E168,I$1&lt;=$F168,$H168&gt;0)</formula>
    </cfRule>
  </conditionalFormatting>
  <conditionalFormatting sqref="I169:HT169">
    <cfRule type="expression" priority="334" aboveAverage="0" equalAverage="0" bottom="0" percent="0" rank="0" text="" dxfId="28">
      <formula>AND(I$1&gt;=$E169,I$1&lt;=$F169,$H169=0)</formula>
    </cfRule>
    <cfRule type="expression" priority="335" aboveAverage="0" equalAverage="0" bottom="0" percent="0" rank="0" text="" dxfId="29">
      <formula>AND(I$1&gt;=$E169,I$1&lt;=$F169,$H169&gt;0)</formula>
    </cfRule>
  </conditionalFormatting>
  <conditionalFormatting sqref="I170:HT170">
    <cfRule type="expression" priority="336" aboveAverage="0" equalAverage="0" bottom="0" percent="0" rank="0" text="" dxfId="28">
      <formula>AND(I$1&gt;=$E170,I$1&lt;=$F170,$H170=0)</formula>
    </cfRule>
    <cfRule type="expression" priority="337" aboveAverage="0" equalAverage="0" bottom="0" percent="0" rank="0" text="" dxfId="29">
      <formula>AND(I$1&gt;=$E170,I$1&lt;=$F170,$H170&gt;0)</formula>
    </cfRule>
  </conditionalFormatting>
  <conditionalFormatting sqref="I171:HT171">
    <cfRule type="expression" priority="338" aboveAverage="0" equalAverage="0" bottom="0" percent="0" rank="0" text="" dxfId="28">
      <formula>AND(I$1&gt;=$E171,I$1&lt;=$F171,$H171=0)</formula>
    </cfRule>
    <cfRule type="expression" priority="339" aboveAverage="0" equalAverage="0" bottom="0" percent="0" rank="0" text="" dxfId="29">
      <formula>AND(I$1&gt;=$E171,I$1&lt;=$F171,$H171&gt;0)</formula>
    </cfRule>
  </conditionalFormatting>
  <conditionalFormatting sqref="I172:HT172">
    <cfRule type="expression" priority="340" aboveAverage="0" equalAverage="0" bottom="0" percent="0" rank="0" text="" dxfId="28">
      <formula>AND(I$1&gt;=$E172,I$1&lt;=$F172,$H172=0)</formula>
    </cfRule>
    <cfRule type="expression" priority="341" aboveAverage="0" equalAverage="0" bottom="0" percent="0" rank="0" text="" dxfId="29">
      <formula>AND(I$1&gt;=$E172,I$1&lt;=$F172,$H172&gt;0)</formula>
    </cfRule>
  </conditionalFormatting>
  <conditionalFormatting sqref="I173:HT173">
    <cfRule type="expression" priority="342" aboveAverage="0" equalAverage="0" bottom="0" percent="0" rank="0" text="" dxfId="28">
      <formula>AND(I$1&gt;=$E173,I$1&lt;=$F173,$H173=0)</formula>
    </cfRule>
    <cfRule type="expression" priority="343" aboveAverage="0" equalAverage="0" bottom="0" percent="0" rank="0" text="" dxfId="29">
      <formula>AND(I$1&gt;=$E173,I$1&lt;=$F173,$H173&gt;0)</formula>
    </cfRule>
  </conditionalFormatting>
  <conditionalFormatting sqref="I174:HT174">
    <cfRule type="expression" priority="344" aboveAverage="0" equalAverage="0" bottom="0" percent="0" rank="0" text="" dxfId="28">
      <formula>AND(I$1&gt;=$E174,I$1&lt;=$F174,$H174=0)</formula>
    </cfRule>
    <cfRule type="expression" priority="345" aboveAverage="0" equalAverage="0" bottom="0" percent="0" rank="0" text="" dxfId="29">
      <formula>AND(I$1&gt;=$E174,I$1&lt;=$F174,$H174&gt;0)</formula>
    </cfRule>
  </conditionalFormatting>
  <conditionalFormatting sqref="I175:HT175">
    <cfRule type="expression" priority="346" aboveAverage="0" equalAverage="0" bottom="0" percent="0" rank="0" text="" dxfId="28">
      <formula>AND(I$1&gt;=$E175,I$1&lt;=$F175,$H175=0)</formula>
    </cfRule>
    <cfRule type="expression" priority="347" aboveAverage="0" equalAverage="0" bottom="0" percent="0" rank="0" text="" dxfId="29">
      <formula>AND(I$1&gt;=$E175,I$1&lt;=$F175,$H175&gt;0)</formula>
    </cfRule>
  </conditionalFormatting>
  <conditionalFormatting sqref="I176:HT176">
    <cfRule type="expression" priority="348" aboveAverage="0" equalAverage="0" bottom="0" percent="0" rank="0" text="" dxfId="28">
      <formula>AND(I$1&gt;=$E176,I$1&lt;=$F176,$H176=0)</formula>
    </cfRule>
    <cfRule type="expression" priority="349" aboveAverage="0" equalAverage="0" bottom="0" percent="0" rank="0" text="" dxfId="29">
      <formula>AND(I$1&gt;=$E176,I$1&lt;=$F176,$H176&gt;0)</formula>
    </cfRule>
  </conditionalFormatting>
  <conditionalFormatting sqref="I177:HT177">
    <cfRule type="expression" priority="350" aboveAverage="0" equalAverage="0" bottom="0" percent="0" rank="0" text="" dxfId="28">
      <formula>AND(I$1&gt;=$E177,I$1&lt;=$F177,$H177=0)</formula>
    </cfRule>
    <cfRule type="expression" priority="351" aboveAverage="0" equalAverage="0" bottom="0" percent="0" rank="0" text="" dxfId="29">
      <formula>AND(I$1&gt;=$E177,I$1&lt;=$F177,$H177&gt;0)</formula>
    </cfRule>
  </conditionalFormatting>
  <conditionalFormatting sqref="I178:HT178">
    <cfRule type="expression" priority="352" aboveAverage="0" equalAverage="0" bottom="0" percent="0" rank="0" text="" dxfId="28">
      <formula>AND(I$1&gt;=$E178,I$1&lt;=$F178,$H178=0)</formula>
    </cfRule>
    <cfRule type="expression" priority="353" aboveAverage="0" equalAverage="0" bottom="0" percent="0" rank="0" text="" dxfId="29">
      <formula>AND(I$1&gt;=$E178,I$1&lt;=$F178,$H178&gt;0)</formula>
    </cfRule>
  </conditionalFormatting>
  <conditionalFormatting sqref="I179:HT179">
    <cfRule type="expression" priority="354" aboveAverage="0" equalAverage="0" bottom="0" percent="0" rank="0" text="" dxfId="28">
      <formula>AND(I$1&gt;=$E179,I$1&lt;=$F179,$H179=0)</formula>
    </cfRule>
    <cfRule type="expression" priority="355" aboveAverage="0" equalAverage="0" bottom="0" percent="0" rank="0" text="" dxfId="29">
      <formula>AND(I$1&gt;=$E179,I$1&lt;=$F179,$H179&gt;0)</formula>
    </cfRule>
  </conditionalFormatting>
  <conditionalFormatting sqref="I180:HT180">
    <cfRule type="expression" priority="356" aboveAverage="0" equalAverage="0" bottom="0" percent="0" rank="0" text="" dxfId="28">
      <formula>AND(I$1&gt;=$E180,I$1&lt;=$F180,$H180=0)</formula>
    </cfRule>
    <cfRule type="expression" priority="357" aboveAverage="0" equalAverage="0" bottom="0" percent="0" rank="0" text="" dxfId="29">
      <formula>AND(I$1&gt;=$E180,I$1&lt;=$F180,$H180&gt;0)</formula>
    </cfRule>
  </conditionalFormatting>
  <conditionalFormatting sqref="I181:HT181">
    <cfRule type="expression" priority="358" aboveAverage="0" equalAverage="0" bottom="0" percent="0" rank="0" text="" dxfId="28">
      <formula>AND(I$1&gt;=$E181,I$1&lt;=$F181,$H181=0)</formula>
    </cfRule>
    <cfRule type="expression" priority="359" aboveAverage="0" equalAverage="0" bottom="0" percent="0" rank="0" text="" dxfId="29">
      <formula>AND(I$1&gt;=$E181,I$1&lt;=$F181,$H181&gt;0)</formula>
    </cfRule>
  </conditionalFormatting>
  <conditionalFormatting sqref="I182:HT182">
    <cfRule type="expression" priority="360" aboveAverage="0" equalAverage="0" bottom="0" percent="0" rank="0" text="" dxfId="28">
      <formula>AND(I$1&gt;=$E182,I$1&lt;=$F182,$H182=0)</formula>
    </cfRule>
    <cfRule type="expression" priority="361" aboveAverage="0" equalAverage="0" bottom="0" percent="0" rank="0" text="" dxfId="29">
      <formula>AND(I$1&gt;=$E182,I$1&lt;=$F182,$H182&gt;0)</formula>
    </cfRule>
  </conditionalFormatting>
  <conditionalFormatting sqref="I183:HT183">
    <cfRule type="expression" priority="362" aboveAverage="0" equalAverage="0" bottom="0" percent="0" rank="0" text="" dxfId="28">
      <formula>AND(I$1&gt;=$E183,I$1&lt;=$F183,$H183=0)</formula>
    </cfRule>
    <cfRule type="expression" priority="363" aboveAverage="0" equalAverage="0" bottom="0" percent="0" rank="0" text="" dxfId="29">
      <formula>AND(I$1&gt;=$E183,I$1&lt;=$F183,$H183&gt;0)</formula>
    </cfRule>
  </conditionalFormatting>
  <conditionalFormatting sqref="I184:HT184">
    <cfRule type="expression" priority="364" aboveAverage="0" equalAverage="0" bottom="0" percent="0" rank="0" text="" dxfId="28">
      <formula>AND(I$1&gt;=$E184,I$1&lt;=$F184,$H184=0)</formula>
    </cfRule>
    <cfRule type="expression" priority="365" aboveAverage="0" equalAverage="0" bottom="0" percent="0" rank="0" text="" dxfId="29">
      <formula>AND(I$1&gt;=$E184,I$1&lt;=$F184,$H184&gt;0)</formula>
    </cfRule>
  </conditionalFormatting>
  <conditionalFormatting sqref="I185:HT185">
    <cfRule type="expression" priority="366" aboveAverage="0" equalAverage="0" bottom="0" percent="0" rank="0" text="" dxfId="28">
      <formula>AND(I$1&gt;=$E185,I$1&lt;=$F185,$H185=0)</formula>
    </cfRule>
    <cfRule type="expression" priority="367" aboveAverage="0" equalAverage="0" bottom="0" percent="0" rank="0" text="" dxfId="29">
      <formula>AND(I$1&gt;=$E185,I$1&lt;=$F185,$H185&gt;0)</formula>
    </cfRule>
  </conditionalFormatting>
  <conditionalFormatting sqref="I186:HT186">
    <cfRule type="expression" priority="368" aboveAverage="0" equalAverage="0" bottom="0" percent="0" rank="0" text="" dxfId="28">
      <formula>AND(I$1&gt;=$E186,I$1&lt;=$F186,$H186=0)</formula>
    </cfRule>
    <cfRule type="expression" priority="369" aboveAverage="0" equalAverage="0" bottom="0" percent="0" rank="0" text="" dxfId="29">
      <formula>AND(I$1&gt;=$E186,I$1&lt;=$F186,$H186&gt;0)</formula>
    </cfRule>
  </conditionalFormatting>
  <conditionalFormatting sqref="I187:HT187">
    <cfRule type="expression" priority="370" aboveAverage="0" equalAverage="0" bottom="0" percent="0" rank="0" text="" dxfId="28">
      <formula>AND(I$1&gt;=$E187,I$1&lt;=$F187,$H187=0)</formula>
    </cfRule>
    <cfRule type="expression" priority="371" aboveAverage="0" equalAverage="0" bottom="0" percent="0" rank="0" text="" dxfId="29">
      <formula>AND(I$1&gt;=$E187,I$1&lt;=$F187,$H187&gt;0)</formula>
    </cfRule>
  </conditionalFormatting>
  <conditionalFormatting sqref="I188:HT188">
    <cfRule type="expression" priority="372" aboveAverage="0" equalAverage="0" bottom="0" percent="0" rank="0" text="" dxfId="28">
      <formula>AND(I$1&gt;=$E188,I$1&lt;=$F188,$H188=0)</formula>
    </cfRule>
    <cfRule type="expression" priority="373" aboveAverage="0" equalAverage="0" bottom="0" percent="0" rank="0" text="" dxfId="29">
      <formula>AND(I$1&gt;=$E188,I$1&lt;=$F188,$H188&gt;0)</formula>
    </cfRule>
  </conditionalFormatting>
  <conditionalFormatting sqref="I189:HT189">
    <cfRule type="expression" priority="374" aboveAverage="0" equalAverage="0" bottom="0" percent="0" rank="0" text="" dxfId="28">
      <formula>AND(I$1&gt;=$E189,I$1&lt;=$F189,$H189=0)</formula>
    </cfRule>
    <cfRule type="expression" priority="375" aboveAverage="0" equalAverage="0" bottom="0" percent="0" rank="0" text="" dxfId="29">
      <formula>AND(I$1&gt;=$E189,I$1&lt;=$F189,$H189&gt;0)</formula>
    </cfRule>
  </conditionalFormatting>
  <conditionalFormatting sqref="I190:HT190">
    <cfRule type="expression" priority="376" aboveAverage="0" equalAverage="0" bottom="0" percent="0" rank="0" text="" dxfId="28">
      <formula>AND(I$1&gt;=$E190,I$1&lt;=$F190,$H190=0)</formula>
    </cfRule>
    <cfRule type="expression" priority="377" aboveAverage="0" equalAverage="0" bottom="0" percent="0" rank="0" text="" dxfId="29">
      <formula>AND(I$1&gt;=$E190,I$1&lt;=$F190,$H190&gt;0)</formula>
    </cfRule>
  </conditionalFormatting>
  <conditionalFormatting sqref="I191:HT191">
    <cfRule type="expression" priority="378" aboveAverage="0" equalAverage="0" bottom="0" percent="0" rank="0" text="" dxfId="28">
      <formula>AND(I$1&gt;=$E191,I$1&lt;=$F191,$H191=0)</formula>
    </cfRule>
    <cfRule type="expression" priority="379" aboveAverage="0" equalAverage="0" bottom="0" percent="0" rank="0" text="" dxfId="29">
      <formula>AND(I$1&gt;=$E191,I$1&lt;=$F191,$H191&gt;0)</formula>
    </cfRule>
  </conditionalFormatting>
  <conditionalFormatting sqref="I192:HT192">
    <cfRule type="expression" priority="380" aboveAverage="0" equalAverage="0" bottom="0" percent="0" rank="0" text="" dxfId="28">
      <formula>AND(I$1&gt;=$E192,I$1&lt;=$F192,$H192=0)</formula>
    </cfRule>
    <cfRule type="expression" priority="381" aboveAverage="0" equalAverage="0" bottom="0" percent="0" rank="0" text="" dxfId="29">
      <formula>AND(I$1&gt;=$E192,I$1&lt;=$F192,$H192&gt;0)</formula>
    </cfRule>
  </conditionalFormatting>
  <conditionalFormatting sqref="I193:HT193">
    <cfRule type="expression" priority="382" aboveAverage="0" equalAverage="0" bottom="0" percent="0" rank="0" text="" dxfId="28">
      <formula>AND(I$1&gt;=$E193,I$1&lt;=$F193,$H193=0)</formula>
    </cfRule>
    <cfRule type="expression" priority="383" aboveAverage="0" equalAverage="0" bottom="0" percent="0" rank="0" text="" dxfId="29">
      <formula>AND(I$1&gt;=$E193,I$1&lt;=$F193,$H193&gt;0)</formula>
    </cfRule>
  </conditionalFormatting>
  <conditionalFormatting sqref="I194:HT194">
    <cfRule type="expression" priority="384" aboveAverage="0" equalAverage="0" bottom="0" percent="0" rank="0" text="" dxfId="28">
      <formula>AND(I$1&gt;=$E194,I$1&lt;=$F194,$H194=0)</formula>
    </cfRule>
    <cfRule type="expression" priority="385" aboveAverage="0" equalAverage="0" bottom="0" percent="0" rank="0" text="" dxfId="29">
      <formula>AND(I$1&gt;=$E194,I$1&lt;=$F194,$H194&gt;0)</formula>
    </cfRule>
  </conditionalFormatting>
  <conditionalFormatting sqref="I195:HT195">
    <cfRule type="expression" priority="386" aboveAverage="0" equalAverage="0" bottom="0" percent="0" rank="0" text="" dxfId="28">
      <formula>AND(I$1&gt;=$E195,I$1&lt;=$F195,$H195=0)</formula>
    </cfRule>
    <cfRule type="expression" priority="387" aboveAverage="0" equalAverage="0" bottom="0" percent="0" rank="0" text="" dxfId="29">
      <formula>AND(I$1&gt;=$E195,I$1&lt;=$F195,$H195&gt;0)</formula>
    </cfRule>
  </conditionalFormatting>
  <conditionalFormatting sqref="I196:HT196">
    <cfRule type="expression" priority="388" aboveAverage="0" equalAverage="0" bottom="0" percent="0" rank="0" text="" dxfId="28">
      <formula>AND(I$1&gt;=$E196,I$1&lt;=$F196,$H196=0)</formula>
    </cfRule>
    <cfRule type="expression" priority="389" aboveAverage="0" equalAverage="0" bottom="0" percent="0" rank="0" text="" dxfId="29">
      <formula>AND(I$1&gt;=$E196,I$1&lt;=$F196,$H196&gt;0)</formula>
    </cfRule>
  </conditionalFormatting>
  <conditionalFormatting sqref="I197:HT197">
    <cfRule type="expression" priority="390" aboveAverage="0" equalAverage="0" bottom="0" percent="0" rank="0" text="" dxfId="28">
      <formula>AND(I$1&gt;=$E197,I$1&lt;=$F197,$H197=0)</formula>
    </cfRule>
    <cfRule type="expression" priority="391" aboveAverage="0" equalAverage="0" bottom="0" percent="0" rank="0" text="" dxfId="29">
      <formula>AND(I$1&gt;=$E197,I$1&lt;=$F197,$H197&gt;0)</formula>
    </cfRule>
  </conditionalFormatting>
  <conditionalFormatting sqref="I198:HT198">
    <cfRule type="expression" priority="392" aboveAverage="0" equalAverage="0" bottom="0" percent="0" rank="0" text="" dxfId="28">
      <formula>AND(I$1&gt;=$E198,I$1&lt;=$F198,$H198=0)</formula>
    </cfRule>
    <cfRule type="expression" priority="393" aboveAverage="0" equalAverage="0" bottom="0" percent="0" rank="0" text="" dxfId="29">
      <formula>AND(I$1&gt;=$E198,I$1&lt;=$F198,$H198&gt;0)</formula>
    </cfRule>
  </conditionalFormatting>
  <conditionalFormatting sqref="I199:HT199">
    <cfRule type="expression" priority="394" aboveAverage="0" equalAverage="0" bottom="0" percent="0" rank="0" text="" dxfId="28">
      <formula>AND(I$1&gt;=$E199,I$1&lt;=$F199,$H199=0)</formula>
    </cfRule>
    <cfRule type="expression" priority="395" aboveAverage="0" equalAverage="0" bottom="0" percent="0" rank="0" text="" dxfId="29">
      <formula>AND(I$1&gt;=$E199,I$1&lt;=$F199,$H199&gt;0)</formula>
    </cfRule>
  </conditionalFormatting>
  <conditionalFormatting sqref="I200:HT200">
    <cfRule type="expression" priority="396" aboveAverage="0" equalAverage="0" bottom="0" percent="0" rank="0" text="" dxfId="28">
      <formula>AND(I$1&gt;=$E200,I$1&lt;=$F200,$H200=0)</formula>
    </cfRule>
    <cfRule type="expression" priority="397" aboveAverage="0" equalAverage="0" bottom="0" percent="0" rank="0" text="" dxfId="29">
      <formula>AND(I$1&gt;=$E200,I$1&lt;=$F200,$H200&gt;0)</formula>
    </cfRule>
  </conditionalFormatting>
  <conditionalFormatting sqref="I201:HT201">
    <cfRule type="expression" priority="398" aboveAverage="0" equalAverage="0" bottom="0" percent="0" rank="0" text="" dxfId="28">
      <formula>AND(I$1&gt;=$E201,I$1&lt;=$F201,$H201=0)</formula>
    </cfRule>
    <cfRule type="expression" priority="399" aboveAverage="0" equalAverage="0" bottom="0" percent="0" rank="0" text="" dxfId="29">
      <formula>AND(I$1&gt;=$E201,I$1&lt;=$F201,$H201&gt;0)</formula>
    </cfRule>
  </conditionalFormatting>
  <conditionalFormatting sqref="I202:HT202">
    <cfRule type="expression" priority="400" aboveAverage="0" equalAverage="0" bottom="0" percent="0" rank="0" text="" dxfId="28">
      <formula>AND(I$1&gt;=$E202,I$1&lt;=$F202,$H202=0)</formula>
    </cfRule>
    <cfRule type="expression" priority="401" aboveAverage="0" equalAverage="0" bottom="0" percent="0" rank="0" text="" dxfId="29">
      <formula>AND(I$1&gt;=$E202,I$1&lt;=$F202,$H202&gt;0)</formula>
    </cfRule>
  </conditionalFormatting>
  <conditionalFormatting sqref="I203:HT203">
    <cfRule type="expression" priority="402" aboveAverage="0" equalAverage="0" bottom="0" percent="0" rank="0" text="" dxfId="28">
      <formula>AND(I$1&gt;=$E203,I$1&lt;=$F203,$H203=0)</formula>
    </cfRule>
    <cfRule type="expression" priority="403" aboveAverage="0" equalAverage="0" bottom="0" percent="0" rank="0" text="" dxfId="29">
      <formula>AND(I$1&gt;=$E203,I$1&lt;=$F203,$H203&gt;0)</formula>
    </cfRule>
  </conditionalFormatting>
  <conditionalFormatting sqref="I204:HT204">
    <cfRule type="expression" priority="404" aboveAverage="0" equalAverage="0" bottom="0" percent="0" rank="0" text="" dxfId="28">
      <formula>AND(I$1&gt;=$E204,I$1&lt;=$F204,$H204=0)</formula>
    </cfRule>
    <cfRule type="expression" priority="405" aboveAverage="0" equalAverage="0" bottom="0" percent="0" rank="0" text="" dxfId="29">
      <formula>AND(I$1&gt;=$E204,I$1&lt;=$F204,$H204&gt;0)</formula>
    </cfRule>
  </conditionalFormatting>
  <conditionalFormatting sqref="I205:HT205">
    <cfRule type="expression" priority="406" aboveAverage="0" equalAverage="0" bottom="0" percent="0" rank="0" text="" dxfId="28">
      <formula>AND(I$1&gt;=$E205,I$1&lt;=$F205,$H205=0)</formula>
    </cfRule>
    <cfRule type="expression" priority="407" aboveAverage="0" equalAverage="0" bottom="0" percent="0" rank="0" text="" dxfId="29">
      <formula>AND(I$1&gt;=$E205,I$1&lt;=$F205,$H205&gt;0)</formula>
    </cfRule>
  </conditionalFormatting>
  <conditionalFormatting sqref="I206:HT206">
    <cfRule type="expression" priority="408" aboveAverage="0" equalAverage="0" bottom="0" percent="0" rank="0" text="" dxfId="28">
      <formula>AND(I$1&gt;=$E206,I$1&lt;=$F206,$H206=0)</formula>
    </cfRule>
    <cfRule type="expression" priority="409" aboveAverage="0" equalAverage="0" bottom="0" percent="0" rank="0" text="" dxfId="29">
      <formula>AND(I$1&gt;=$E206,I$1&lt;=$F206,$H206&gt;0)</formula>
    </cfRule>
  </conditionalFormatting>
  <conditionalFormatting sqref="I207:HT207">
    <cfRule type="expression" priority="410" aboveAverage="0" equalAverage="0" bottom="0" percent="0" rank="0" text="" dxfId="28">
      <formula>AND(I$1&gt;=$E207,I$1&lt;=$F207,$H207=0)</formula>
    </cfRule>
    <cfRule type="expression" priority="411" aboveAverage="0" equalAverage="0" bottom="0" percent="0" rank="0" text="" dxfId="29">
      <formula>AND(I$1&gt;=$E207,I$1&lt;=$F207,$H207&gt;0)</formula>
    </cfRule>
  </conditionalFormatting>
  <conditionalFormatting sqref="I208:HT208">
    <cfRule type="expression" priority="412" aboveAverage="0" equalAverage="0" bottom="0" percent="0" rank="0" text="" dxfId="28">
      <formula>AND(I$1&gt;=$E208,I$1&lt;=$F208,$H208=0)</formula>
    </cfRule>
    <cfRule type="expression" priority="413" aboveAverage="0" equalAverage="0" bottom="0" percent="0" rank="0" text="" dxfId="29">
      <formula>AND(I$1&gt;=$E208,I$1&lt;=$F208,$H208&gt;0)</formula>
    </cfRule>
  </conditionalFormatting>
  <conditionalFormatting sqref="I209:HT209">
    <cfRule type="expression" priority="414" aboveAverage="0" equalAverage="0" bottom="0" percent="0" rank="0" text="" dxfId="28">
      <formula>AND(I$1&gt;=$E209,I$1&lt;=$F209,$H209=0)</formula>
    </cfRule>
    <cfRule type="expression" priority="415" aboveAverage="0" equalAverage="0" bottom="0" percent="0" rank="0" text="" dxfId="29">
      <formula>AND(I$1&gt;=$E209,I$1&lt;=$F209,$H209&gt;0)</formula>
    </cfRule>
  </conditionalFormatting>
  <conditionalFormatting sqref="I210:HT210">
    <cfRule type="expression" priority="416" aboveAverage="0" equalAverage="0" bottom="0" percent="0" rank="0" text="" dxfId="28">
      <formula>AND(I$1&gt;=$E210,I$1&lt;=$F210,$H210=0)</formula>
    </cfRule>
    <cfRule type="expression" priority="417" aboveAverage="0" equalAverage="0" bottom="0" percent="0" rank="0" text="" dxfId="29">
      <formula>AND(I$1&gt;=$E210,I$1&lt;=$F210,$H210&gt;0)</formula>
    </cfRule>
  </conditionalFormatting>
  <conditionalFormatting sqref="I211:HT211">
    <cfRule type="expression" priority="418" aboveAverage="0" equalAverage="0" bottom="0" percent="0" rank="0" text="" dxfId="28">
      <formula>AND(I$1&gt;=$E211,I$1&lt;=$F211,$H211=0)</formula>
    </cfRule>
    <cfRule type="expression" priority="419" aboveAverage="0" equalAverage="0" bottom="0" percent="0" rank="0" text="" dxfId="29">
      <formula>AND(I$1&gt;=$E211,I$1&lt;=$F211,$H211&gt;0)</formula>
    </cfRule>
  </conditionalFormatting>
  <conditionalFormatting sqref="I212:HT212">
    <cfRule type="expression" priority="420" aboveAverage="0" equalAverage="0" bottom="0" percent="0" rank="0" text="" dxfId="28">
      <formula>AND(I$1&gt;=$E212,I$1&lt;=$F212,$H212=0)</formula>
    </cfRule>
    <cfRule type="expression" priority="421" aboveAverage="0" equalAverage="0" bottom="0" percent="0" rank="0" text="" dxfId="29">
      <formula>AND(I$1&gt;=$E212,I$1&lt;=$F212,$H212&gt;0)</formula>
    </cfRule>
  </conditionalFormatting>
  <conditionalFormatting sqref="I213:HT213">
    <cfRule type="expression" priority="422" aboveAverage="0" equalAverage="0" bottom="0" percent="0" rank="0" text="" dxfId="28">
      <formula>AND(I$1&gt;=$E213,I$1&lt;=$F213,$H213=0)</formula>
    </cfRule>
    <cfRule type="expression" priority="423" aboveAverage="0" equalAverage="0" bottom="0" percent="0" rank="0" text="" dxfId="29">
      <formula>AND(I$1&gt;=$E213,I$1&lt;=$F213,$H213&gt;0)</formula>
    </cfRule>
  </conditionalFormatting>
  <conditionalFormatting sqref="I214:HT214">
    <cfRule type="expression" priority="424" aboveAverage="0" equalAverage="0" bottom="0" percent="0" rank="0" text="" dxfId="28">
      <formula>AND(I$1&gt;=$E214,I$1&lt;=$F214,$H214=0)</formula>
    </cfRule>
    <cfRule type="expression" priority="425" aboveAverage="0" equalAverage="0" bottom="0" percent="0" rank="0" text="" dxfId="29">
      <formula>AND(I$1&gt;=$E214,I$1&lt;=$F214,$H214&gt;0)</formula>
    </cfRule>
  </conditionalFormatting>
  <conditionalFormatting sqref="I215:HT215">
    <cfRule type="expression" priority="426" aboveAverage="0" equalAverage="0" bottom="0" percent="0" rank="0" text="" dxfId="28">
      <formula>AND(I$1&gt;=$E215,I$1&lt;=$F215,$H215=0)</formula>
    </cfRule>
    <cfRule type="expression" priority="427" aboveAverage="0" equalAverage="0" bottom="0" percent="0" rank="0" text="" dxfId="29">
      <formula>AND(I$1&gt;=$E215,I$1&lt;=$F215,$H215&gt;0)</formula>
    </cfRule>
  </conditionalFormatting>
  <conditionalFormatting sqref="I216:HT216">
    <cfRule type="expression" priority="428" aboveAverage="0" equalAverage="0" bottom="0" percent="0" rank="0" text="" dxfId="28">
      <formula>AND(I$1&gt;=$E216,I$1&lt;=$F216,$H216=0)</formula>
    </cfRule>
    <cfRule type="expression" priority="429" aboveAverage="0" equalAverage="0" bottom="0" percent="0" rank="0" text="" dxfId="29">
      <formula>AND(I$1&gt;=$E216,I$1&lt;=$F216,$H216&gt;0)</formula>
    </cfRule>
  </conditionalFormatting>
  <conditionalFormatting sqref="I217:HT217">
    <cfRule type="expression" priority="430" aboveAverage="0" equalAverage="0" bottom="0" percent="0" rank="0" text="" dxfId="28">
      <formula>AND(I$1&gt;=$E217,I$1&lt;=$F217,$H217=0)</formula>
    </cfRule>
    <cfRule type="expression" priority="431" aboveAverage="0" equalAverage="0" bottom="0" percent="0" rank="0" text="" dxfId="29">
      <formula>AND(I$1&gt;=$E217,I$1&lt;=$F217,$H217&gt;0)</formula>
    </cfRule>
  </conditionalFormatting>
  <conditionalFormatting sqref="I218:HT218">
    <cfRule type="expression" priority="432" aboveAverage="0" equalAverage="0" bottom="0" percent="0" rank="0" text="" dxfId="28">
      <formula>AND(I$1&gt;=$E218,I$1&lt;=$F218,$H218=0)</formula>
    </cfRule>
    <cfRule type="expression" priority="433" aboveAverage="0" equalAverage="0" bottom="0" percent="0" rank="0" text="" dxfId="29">
      <formula>AND(I$1&gt;=$E218,I$1&lt;=$F218,$H218&gt;0)</formula>
    </cfRule>
  </conditionalFormatting>
  <conditionalFormatting sqref="I219:HT219">
    <cfRule type="expression" priority="434" aboveAverage="0" equalAverage="0" bottom="0" percent="0" rank="0" text="" dxfId="28">
      <formula>AND(I$1&gt;=$E219,I$1&lt;=$F219,$H219=0)</formula>
    </cfRule>
    <cfRule type="expression" priority="435" aboveAverage="0" equalAverage="0" bottom="0" percent="0" rank="0" text="" dxfId="29">
      <formula>AND(I$1&gt;=$E219,I$1&lt;=$F219,$H219&gt;0)</formula>
    </cfRule>
  </conditionalFormatting>
  <conditionalFormatting sqref="I220:HT220">
    <cfRule type="expression" priority="436" aboveAverage="0" equalAverage="0" bottom="0" percent="0" rank="0" text="" dxfId="28">
      <formula>AND(I$1&gt;=$E220,I$1&lt;=$F220,$H220=0)</formula>
    </cfRule>
    <cfRule type="expression" priority="437" aboveAverage="0" equalAverage="0" bottom="0" percent="0" rank="0" text="" dxfId="29">
      <formula>AND(I$1&gt;=$E220,I$1&lt;=$F220,$H220&gt;0)</formula>
    </cfRule>
  </conditionalFormatting>
  <conditionalFormatting sqref="I221:HT221">
    <cfRule type="expression" priority="438" aboveAverage="0" equalAverage="0" bottom="0" percent="0" rank="0" text="" dxfId="28">
      <formula>AND(I$1&gt;=$E221,I$1&lt;=$F221,$H221=0)</formula>
    </cfRule>
    <cfRule type="expression" priority="439" aboveAverage="0" equalAverage="0" bottom="0" percent="0" rank="0" text="" dxfId="29">
      <formula>AND(I$1&gt;=$E221,I$1&lt;=$F221,$H221&gt;0)</formula>
    </cfRule>
  </conditionalFormatting>
  <conditionalFormatting sqref="I222:HT222">
    <cfRule type="expression" priority="440" aboveAverage="0" equalAverage="0" bottom="0" percent="0" rank="0" text="" dxfId="28">
      <formula>AND(I$1&gt;=$E222,I$1&lt;=$F222,$H222=0)</formula>
    </cfRule>
    <cfRule type="expression" priority="441" aboveAverage="0" equalAverage="0" bottom="0" percent="0" rank="0" text="" dxfId="29">
      <formula>AND(I$1&gt;=$E222,I$1&lt;=$F222,$H222&gt;0)</formula>
    </cfRule>
  </conditionalFormatting>
  <conditionalFormatting sqref="I223:HT223">
    <cfRule type="expression" priority="442" aboveAverage="0" equalAverage="0" bottom="0" percent="0" rank="0" text="" dxfId="28">
      <formula>AND(I$1&gt;=$E223,I$1&lt;=$F223,$H223=0)</formula>
    </cfRule>
    <cfRule type="expression" priority="443" aboveAverage="0" equalAverage="0" bottom="0" percent="0" rank="0" text="" dxfId="29">
      <formula>AND(I$1&gt;=$E223,I$1&lt;=$F223,$H223&gt;0)</formula>
    </cfRule>
  </conditionalFormatting>
  <conditionalFormatting sqref="I224:HT224">
    <cfRule type="expression" priority="444" aboveAverage="0" equalAverage="0" bottom="0" percent="0" rank="0" text="" dxfId="28">
      <formula>AND(I$1&gt;=$E224,I$1&lt;=$F224,$H224=0)</formula>
    </cfRule>
    <cfRule type="expression" priority="445" aboveAverage="0" equalAverage="0" bottom="0" percent="0" rank="0" text="" dxfId="29">
      <formula>AND(I$1&gt;=$E224,I$1&lt;=$F224,$H224&gt;0)</formula>
    </cfRule>
  </conditionalFormatting>
  <conditionalFormatting sqref="I225:HT225">
    <cfRule type="expression" priority="446" aboveAverage="0" equalAverage="0" bottom="0" percent="0" rank="0" text="" dxfId="28">
      <formula>AND(I$1&gt;=$E225,I$1&lt;=$F225,$H225=0)</formula>
    </cfRule>
    <cfRule type="expression" priority="447" aboveAverage="0" equalAverage="0" bottom="0" percent="0" rank="0" text="" dxfId="29">
      <formula>AND(I$1&gt;=$E225,I$1&lt;=$F225,$H225&gt;0)</formula>
    </cfRule>
  </conditionalFormatting>
  <conditionalFormatting sqref="I226:HT226">
    <cfRule type="expression" priority="448" aboveAverage="0" equalAverage="0" bottom="0" percent="0" rank="0" text="" dxfId="28">
      <formula>AND(I$1&gt;=$E226,I$1&lt;=$F226,$H226=0)</formula>
    </cfRule>
    <cfRule type="expression" priority="449" aboveAverage="0" equalAverage="0" bottom="0" percent="0" rank="0" text="" dxfId="29">
      <formula>AND(I$1&gt;=$E226,I$1&lt;=$F226,$H226&gt;0)</formula>
    </cfRule>
  </conditionalFormatting>
  <conditionalFormatting sqref="I227:HT227">
    <cfRule type="expression" priority="450" aboveAverage="0" equalAverage="0" bottom="0" percent="0" rank="0" text="" dxfId="28">
      <formula>AND(I$1&gt;=$E227,I$1&lt;=$F227,$H227=0)</formula>
    </cfRule>
    <cfRule type="expression" priority="451" aboveAverage="0" equalAverage="0" bottom="0" percent="0" rank="0" text="" dxfId="29">
      <formula>AND(I$1&gt;=$E227,I$1&lt;=$F227,$H227&gt;0)</formula>
    </cfRule>
  </conditionalFormatting>
  <conditionalFormatting sqref="I228:HT228">
    <cfRule type="expression" priority="452" aboveAverage="0" equalAverage="0" bottom="0" percent="0" rank="0" text="" dxfId="28">
      <formula>AND(I$1&gt;=$E228,I$1&lt;=$F228,$H228=0)</formula>
    </cfRule>
    <cfRule type="expression" priority="453" aboveAverage="0" equalAverage="0" bottom="0" percent="0" rank="0" text="" dxfId="29">
      <formula>AND(I$1&gt;=$E228,I$1&lt;=$F228,$H228&gt;0)</formula>
    </cfRule>
  </conditionalFormatting>
  <conditionalFormatting sqref="I229:HT229">
    <cfRule type="expression" priority="454" aboveAverage="0" equalAverage="0" bottom="0" percent="0" rank="0" text="" dxfId="28">
      <formula>AND(I$1&gt;=$E229,I$1&lt;=$F229,$H229=0)</formula>
    </cfRule>
    <cfRule type="expression" priority="455" aboveAverage="0" equalAverage="0" bottom="0" percent="0" rank="0" text="" dxfId="29">
      <formula>AND(I$1&gt;=$E229,I$1&lt;=$F229,$H229&gt;0)</formula>
    </cfRule>
  </conditionalFormatting>
  <conditionalFormatting sqref="I230:HT230">
    <cfRule type="expression" priority="456" aboveAverage="0" equalAverage="0" bottom="0" percent="0" rank="0" text="" dxfId="28">
      <formula>AND(I$1&gt;=$E230,I$1&lt;=$F230,$H230=0)</formula>
    </cfRule>
    <cfRule type="expression" priority="457" aboveAverage="0" equalAverage="0" bottom="0" percent="0" rank="0" text="" dxfId="29">
      <formula>AND(I$1&gt;=$E230,I$1&lt;=$F230,$H230&gt;0)</formula>
    </cfRule>
  </conditionalFormatting>
  <conditionalFormatting sqref="I231:HT231">
    <cfRule type="expression" priority="458" aboveAverage="0" equalAverage="0" bottom="0" percent="0" rank="0" text="" dxfId="28">
      <formula>AND(I$1&gt;=$E231,I$1&lt;=$F231,$H231=0)</formula>
    </cfRule>
    <cfRule type="expression" priority="459" aboveAverage="0" equalAverage="0" bottom="0" percent="0" rank="0" text="" dxfId="29">
      <formula>AND(I$1&gt;=$E231,I$1&lt;=$F231,$H231&gt;0)</formula>
    </cfRule>
  </conditionalFormatting>
  <conditionalFormatting sqref="I232:HT232">
    <cfRule type="expression" priority="460" aboveAverage="0" equalAverage="0" bottom="0" percent="0" rank="0" text="" dxfId="28">
      <formula>AND(I$1&gt;=$E232,I$1&lt;=$F232,$H232=0)</formula>
    </cfRule>
    <cfRule type="expression" priority="461" aboveAverage="0" equalAverage="0" bottom="0" percent="0" rank="0" text="" dxfId="29">
      <formula>AND(I$1&gt;=$E232,I$1&lt;=$F232,$H232&gt;0)</formula>
    </cfRule>
  </conditionalFormatting>
  <conditionalFormatting sqref="I233:HT233">
    <cfRule type="expression" priority="462" aboveAverage="0" equalAverage="0" bottom="0" percent="0" rank="0" text="" dxfId="28">
      <formula>AND(I$1&gt;=$E233,I$1&lt;=$F233,$H233=0)</formula>
    </cfRule>
    <cfRule type="expression" priority="463" aboveAverage="0" equalAverage="0" bottom="0" percent="0" rank="0" text="" dxfId="29">
      <formula>AND(I$1&gt;=$E233,I$1&lt;=$F233,$H233&gt;0)</formula>
    </cfRule>
  </conditionalFormatting>
  <conditionalFormatting sqref="I234:HT234">
    <cfRule type="expression" priority="464" aboveAverage="0" equalAverage="0" bottom="0" percent="0" rank="0" text="" dxfId="28">
      <formula>AND(I$1&gt;=$E234,I$1&lt;=$F234,$H234=0)</formula>
    </cfRule>
    <cfRule type="expression" priority="465" aboveAverage="0" equalAverage="0" bottom="0" percent="0" rank="0" text="" dxfId="29">
      <formula>AND(I$1&gt;=$E234,I$1&lt;=$F234,$H234&gt;0)</formula>
    </cfRule>
  </conditionalFormatting>
  <conditionalFormatting sqref="I235:HT235">
    <cfRule type="expression" priority="466" aboveAverage="0" equalAverage="0" bottom="0" percent="0" rank="0" text="" dxfId="28">
      <formula>AND(I$1&gt;=$E235,I$1&lt;=$F235,$H235=0)</formula>
    </cfRule>
    <cfRule type="expression" priority="467" aboveAverage="0" equalAverage="0" bottom="0" percent="0" rank="0" text="" dxfId="29">
      <formula>AND(I$1&gt;=$E235,I$1&lt;=$F235,$H235&gt;0)</formula>
    </cfRule>
  </conditionalFormatting>
  <conditionalFormatting sqref="I236:HT236">
    <cfRule type="expression" priority="468" aboveAverage="0" equalAverage="0" bottom="0" percent="0" rank="0" text="" dxfId="28">
      <formula>AND(I$1&gt;=$E236,I$1&lt;=$F236,$H236=0)</formula>
    </cfRule>
    <cfRule type="expression" priority="469" aboveAverage="0" equalAverage="0" bottom="0" percent="0" rank="0" text="" dxfId="29">
      <formula>AND(I$1&gt;=$E236,I$1&lt;=$F236,$H236&gt;0)</formula>
    </cfRule>
  </conditionalFormatting>
  <conditionalFormatting sqref="I237:HT237">
    <cfRule type="expression" priority="470" aboveAverage="0" equalAverage="0" bottom="0" percent="0" rank="0" text="" dxfId="28">
      <formula>AND(I$1&gt;=$E237,I$1&lt;=$F237,$H237=0)</formula>
    </cfRule>
    <cfRule type="expression" priority="471" aboveAverage="0" equalAverage="0" bottom="0" percent="0" rank="0" text="" dxfId="29">
      <formula>AND(I$1&gt;=$E237,I$1&lt;=$F237,$H237&gt;0)</formula>
    </cfRule>
  </conditionalFormatting>
  <conditionalFormatting sqref="I238:HT238">
    <cfRule type="expression" priority="472" aboveAverage="0" equalAverage="0" bottom="0" percent="0" rank="0" text="" dxfId="28">
      <formula>AND(I$1&gt;=$E238,I$1&lt;=$F238,$H238=0)</formula>
    </cfRule>
    <cfRule type="expression" priority="473" aboveAverage="0" equalAverage="0" bottom="0" percent="0" rank="0" text="" dxfId="29">
      <formula>AND(I$1&gt;=$E238,I$1&lt;=$F238,$H238&gt;0)</formula>
    </cfRule>
  </conditionalFormatting>
  <conditionalFormatting sqref="I239:HT239">
    <cfRule type="expression" priority="474" aboveAverage="0" equalAverage="0" bottom="0" percent="0" rank="0" text="" dxfId="28">
      <formula>AND(I$1&gt;=$E239,I$1&lt;=$F239,$H239=0)</formula>
    </cfRule>
    <cfRule type="expression" priority="475" aboveAverage="0" equalAverage="0" bottom="0" percent="0" rank="0" text="" dxfId="29">
      <formula>AND(I$1&gt;=$E239,I$1&lt;=$F239,$H239&gt;0)</formula>
    </cfRule>
  </conditionalFormatting>
  <conditionalFormatting sqref="I240:HT240">
    <cfRule type="expression" priority="476" aboveAverage="0" equalAverage="0" bottom="0" percent="0" rank="0" text="" dxfId="28">
      <formula>AND(I$1&gt;=$E240,I$1&lt;=$F240,$H240=0)</formula>
    </cfRule>
    <cfRule type="expression" priority="477" aboveAverage="0" equalAverage="0" bottom="0" percent="0" rank="0" text="" dxfId="29">
      <formula>AND(I$1&gt;=$E240,I$1&lt;=$F240,$H240&gt;0)</formula>
    </cfRule>
  </conditionalFormatting>
  <conditionalFormatting sqref="I241:HT241">
    <cfRule type="expression" priority="478" aboveAverage="0" equalAverage="0" bottom="0" percent="0" rank="0" text="" dxfId="28">
      <formula>AND(I$1&gt;=$E241,I$1&lt;=$F241,$H241=0)</formula>
    </cfRule>
    <cfRule type="expression" priority="479" aboveAverage="0" equalAverage="0" bottom="0" percent="0" rank="0" text="" dxfId="29">
      <formula>AND(I$1&gt;=$E241,I$1&lt;=$F241,$H241&gt;0)</formula>
    </cfRule>
  </conditionalFormatting>
  <conditionalFormatting sqref="I242:HT242">
    <cfRule type="expression" priority="480" aboveAverage="0" equalAverage="0" bottom="0" percent="0" rank="0" text="" dxfId="28">
      <formula>AND(I$1&gt;=$E242,I$1&lt;=$F242,$H242=0)</formula>
    </cfRule>
    <cfRule type="expression" priority="481" aboveAverage="0" equalAverage="0" bottom="0" percent="0" rank="0" text="" dxfId="29">
      <formula>AND(I$1&gt;=$E242,I$1&lt;=$F242,$H242&gt;0)</formula>
    </cfRule>
  </conditionalFormatting>
  <conditionalFormatting sqref="I243:HT243">
    <cfRule type="expression" priority="482" aboveAverage="0" equalAverage="0" bottom="0" percent="0" rank="0" text="" dxfId="28">
      <formula>AND(I$1&gt;=$E243,I$1&lt;=$F243,$H243=0)</formula>
    </cfRule>
    <cfRule type="expression" priority="483" aboveAverage="0" equalAverage="0" bottom="0" percent="0" rank="0" text="" dxfId="29">
      <formula>AND(I$1&gt;=$E243,I$1&lt;=$F243,$H243&gt;0)</formula>
    </cfRule>
  </conditionalFormatting>
  <conditionalFormatting sqref="I244:HT244">
    <cfRule type="expression" priority="484" aboveAverage="0" equalAverage="0" bottom="0" percent="0" rank="0" text="" dxfId="28">
      <formula>AND(I$1&gt;=$E244,I$1&lt;=$F244,$H244=0)</formula>
    </cfRule>
    <cfRule type="expression" priority="485" aboveAverage="0" equalAverage="0" bottom="0" percent="0" rank="0" text="" dxfId="29">
      <formula>AND(I$1&gt;=$E244,I$1&lt;=$F244,$H244&gt;0)</formula>
    </cfRule>
  </conditionalFormatting>
  <conditionalFormatting sqref="I245:HT245">
    <cfRule type="expression" priority="486" aboveAverage="0" equalAverage="0" bottom="0" percent="0" rank="0" text="" dxfId="28">
      <formula>AND(I$1&gt;=$E245,I$1&lt;=$F245,$H245=0)</formula>
    </cfRule>
    <cfRule type="expression" priority="487" aboveAverage="0" equalAverage="0" bottom="0" percent="0" rank="0" text="" dxfId="29">
      <formula>AND(I$1&gt;=$E245,I$1&lt;=$F245,$H245&gt;0)</formula>
    </cfRule>
  </conditionalFormatting>
  <conditionalFormatting sqref="I246:HT246">
    <cfRule type="expression" priority="488" aboveAverage="0" equalAverage="0" bottom="0" percent="0" rank="0" text="" dxfId="28">
      <formula>AND(I$1&gt;=$E246,I$1&lt;=$F246,$H246=0)</formula>
    </cfRule>
    <cfRule type="expression" priority="489" aboveAverage="0" equalAverage="0" bottom="0" percent="0" rank="0" text="" dxfId="29">
      <formula>AND(I$1&gt;=$E246,I$1&lt;=$F246,$H246&gt;0)</formula>
    </cfRule>
  </conditionalFormatting>
  <conditionalFormatting sqref="I247:HT247">
    <cfRule type="expression" priority="490" aboveAverage="0" equalAverage="0" bottom="0" percent="0" rank="0" text="" dxfId="28">
      <formula>AND(I$1&gt;=$E247,I$1&lt;=$F247,$H247=0)</formula>
    </cfRule>
    <cfRule type="expression" priority="491" aboveAverage="0" equalAverage="0" bottom="0" percent="0" rank="0" text="" dxfId="29">
      <formula>AND(I$1&gt;=$E247,I$1&lt;=$F247,$H247&gt;0)</formula>
    </cfRule>
  </conditionalFormatting>
  <conditionalFormatting sqref="I248:HT248">
    <cfRule type="expression" priority="492" aboveAverage="0" equalAverage="0" bottom="0" percent="0" rank="0" text="" dxfId="28">
      <formula>AND(I$1&gt;=$E248,I$1&lt;=$F248,$H248=0)</formula>
    </cfRule>
    <cfRule type="expression" priority="493" aboveAverage="0" equalAverage="0" bottom="0" percent="0" rank="0" text="" dxfId="29">
      <formula>AND(I$1&gt;=$E248,I$1&lt;=$F248,$H248&gt;0)</formula>
    </cfRule>
  </conditionalFormatting>
  <conditionalFormatting sqref="I249:HT249">
    <cfRule type="expression" priority="494" aboveAverage="0" equalAverage="0" bottom="0" percent="0" rank="0" text="" dxfId="28">
      <formula>AND(I$1&gt;=$E249,I$1&lt;=$F249,$H249=0)</formula>
    </cfRule>
    <cfRule type="expression" priority="495" aboveAverage="0" equalAverage="0" bottom="0" percent="0" rank="0" text="" dxfId="29">
      <formula>AND(I$1&gt;=$E249,I$1&lt;=$F249,$H249&gt;0)</formula>
    </cfRule>
  </conditionalFormatting>
  <conditionalFormatting sqref="I250:HT250">
    <cfRule type="expression" priority="496" aboveAverage="0" equalAverage="0" bottom="0" percent="0" rank="0" text="" dxfId="28">
      <formula>AND(I$1&gt;=$E250,I$1&lt;=$F250,$H250=0)</formula>
    </cfRule>
    <cfRule type="expression" priority="497" aboveAverage="0" equalAverage="0" bottom="0" percent="0" rank="0" text="" dxfId="29">
      <formula>AND(I$1&gt;=$E250,I$1&lt;=$F250,$H250&gt;0)</formula>
    </cfRule>
  </conditionalFormatting>
  <conditionalFormatting sqref="I251:HT251">
    <cfRule type="expression" priority="498" aboveAverage="0" equalAverage="0" bottom="0" percent="0" rank="0" text="" dxfId="28">
      <formula>AND(I$1&gt;=$E251,I$1&lt;=$F251,$H251=0)</formula>
    </cfRule>
    <cfRule type="expression" priority="499" aboveAverage="0" equalAverage="0" bottom="0" percent="0" rank="0" text="" dxfId="29">
      <formula>AND(I$1&gt;=$E251,I$1&lt;=$F251,$H251&gt;0)</formula>
    </cfRule>
  </conditionalFormatting>
  <conditionalFormatting sqref="I252:HT252">
    <cfRule type="expression" priority="500" aboveAverage="0" equalAverage="0" bottom="0" percent="0" rank="0" text="" dxfId="28">
      <formula>AND(I$1&gt;=$E252,I$1&lt;=$F252,$H252=0)</formula>
    </cfRule>
    <cfRule type="expression" priority="501" aboveAverage="0" equalAverage="0" bottom="0" percent="0" rank="0" text="" dxfId="29">
      <formula>AND(I$1&gt;=$E252,I$1&lt;=$F252,$H252&gt;0)</formula>
    </cfRule>
  </conditionalFormatting>
  <conditionalFormatting sqref="I253:HT253">
    <cfRule type="expression" priority="502" aboveAverage="0" equalAverage="0" bottom="0" percent="0" rank="0" text="" dxfId="28">
      <formula>AND(I$1&gt;=$E253,I$1&lt;=$F253,$H253=0)</formula>
    </cfRule>
    <cfRule type="expression" priority="503" aboveAverage="0" equalAverage="0" bottom="0" percent="0" rank="0" text="" dxfId="29">
      <formula>AND(I$1&gt;=$E253,I$1&lt;=$F253,$H253&gt;0)</formula>
    </cfRule>
  </conditionalFormatting>
  <conditionalFormatting sqref="I254:HT254">
    <cfRule type="expression" priority="504" aboveAverage="0" equalAverage="0" bottom="0" percent="0" rank="0" text="" dxfId="28">
      <formula>AND(I$1&gt;=$E254,I$1&lt;=$F254,$H254=0)</formula>
    </cfRule>
    <cfRule type="expression" priority="505" aboveAverage="0" equalAverage="0" bottom="0" percent="0" rank="0" text="" dxfId="29">
      <formula>AND(I$1&gt;=$E254,I$1&lt;=$F254,$H254&gt;0)</formula>
    </cfRule>
  </conditionalFormatting>
  <conditionalFormatting sqref="I255:HT255">
    <cfRule type="expression" priority="506" aboveAverage="0" equalAverage="0" bottom="0" percent="0" rank="0" text="" dxfId="28">
      <formula>AND(I$1&gt;=$E255,I$1&lt;=$F255,$H255=0)</formula>
    </cfRule>
    <cfRule type="expression" priority="507" aboveAverage="0" equalAverage="0" bottom="0" percent="0" rank="0" text="" dxfId="29">
      <formula>AND(I$1&gt;=$E255,I$1&lt;=$F255,$H255&gt;0)</formula>
    </cfRule>
  </conditionalFormatting>
  <conditionalFormatting sqref="I256:HT256">
    <cfRule type="expression" priority="508" aboveAverage="0" equalAverage="0" bottom="0" percent="0" rank="0" text="" dxfId="28">
      <formula>AND(I$1&gt;=$E256,I$1&lt;=$F256,$H256=0)</formula>
    </cfRule>
    <cfRule type="expression" priority="509" aboveAverage="0" equalAverage="0" bottom="0" percent="0" rank="0" text="" dxfId="29">
      <formula>AND(I$1&gt;=$E256,I$1&lt;=$F256,$H256&gt;0)</formula>
    </cfRule>
  </conditionalFormatting>
  <conditionalFormatting sqref="I257:HT257">
    <cfRule type="expression" priority="510" aboveAverage="0" equalAverage="0" bottom="0" percent="0" rank="0" text="" dxfId="28">
      <formula>AND(I$1&gt;=$E257,I$1&lt;=$F257,$H257=0)</formula>
    </cfRule>
    <cfRule type="expression" priority="511" aboveAverage="0" equalAverage="0" bottom="0" percent="0" rank="0" text="" dxfId="29">
      <formula>AND(I$1&gt;=$E257,I$1&lt;=$F257,$H257&gt;0)</formula>
    </cfRule>
  </conditionalFormatting>
  <conditionalFormatting sqref="I258:HT258">
    <cfRule type="expression" priority="512" aboveAverage="0" equalAverage="0" bottom="0" percent="0" rank="0" text="" dxfId="28">
      <formula>AND(I$1&gt;=$E258,I$1&lt;=$F258,$H258=0)</formula>
    </cfRule>
    <cfRule type="expression" priority="513" aboveAverage="0" equalAverage="0" bottom="0" percent="0" rank="0" text="" dxfId="29">
      <formula>AND(I$1&gt;=$E258,I$1&lt;=$F258,$H258&gt;0)</formula>
    </cfRule>
  </conditionalFormatting>
  <conditionalFormatting sqref="I259:HT259">
    <cfRule type="expression" priority="514" aboveAverage="0" equalAverage="0" bottom="0" percent="0" rank="0" text="" dxfId="28">
      <formula>AND(I$1&gt;=$E259,I$1&lt;=$F259,$H259=0)</formula>
    </cfRule>
    <cfRule type="expression" priority="515" aboveAverage="0" equalAverage="0" bottom="0" percent="0" rank="0" text="" dxfId="29">
      <formula>AND(I$1&gt;=$E259,I$1&lt;=$F259,$H259&gt;0)</formula>
    </cfRule>
  </conditionalFormatting>
  <conditionalFormatting sqref="I260:HT260">
    <cfRule type="expression" priority="516" aboveAverage="0" equalAverage="0" bottom="0" percent="0" rank="0" text="" dxfId="28">
      <formula>AND(I$1&gt;=$E260,I$1&lt;=$F260,$H260=0)</formula>
    </cfRule>
    <cfRule type="expression" priority="517" aboveAverage="0" equalAverage="0" bottom="0" percent="0" rank="0" text="" dxfId="29">
      <formula>AND(I$1&gt;=$E260,I$1&lt;=$F260,$H260&gt;0)</formula>
    </cfRule>
  </conditionalFormatting>
  <conditionalFormatting sqref="I261:HT261">
    <cfRule type="expression" priority="518" aboveAverage="0" equalAverage="0" bottom="0" percent="0" rank="0" text="" dxfId="28">
      <formula>AND(I$1&gt;=$E261,I$1&lt;=$F261,$H261=0)</formula>
    </cfRule>
    <cfRule type="expression" priority="519" aboveAverage="0" equalAverage="0" bottom="0" percent="0" rank="0" text="" dxfId="29">
      <formula>AND(I$1&gt;=$E261,I$1&lt;=$F261,$H261&gt;0)</formula>
    </cfRule>
  </conditionalFormatting>
  <conditionalFormatting sqref="I262:HT262">
    <cfRule type="expression" priority="520" aboveAverage="0" equalAverage="0" bottom="0" percent="0" rank="0" text="" dxfId="28">
      <formula>AND(I$1&gt;=$E262,I$1&lt;=$F262,$H262=0)</formula>
    </cfRule>
    <cfRule type="expression" priority="521" aboveAverage="0" equalAverage="0" bottom="0" percent="0" rank="0" text="" dxfId="29">
      <formula>AND(I$1&gt;=$E262,I$1&lt;=$F262,$H262&gt;0)</formula>
    </cfRule>
  </conditionalFormatting>
  <conditionalFormatting sqref="I263:HT263">
    <cfRule type="expression" priority="522" aboveAverage="0" equalAverage="0" bottom="0" percent="0" rank="0" text="" dxfId="28">
      <formula>AND(I$1&gt;=$E263,I$1&lt;=$F263,$H263=0)</formula>
    </cfRule>
    <cfRule type="expression" priority="523" aboveAverage="0" equalAverage="0" bottom="0" percent="0" rank="0" text="" dxfId="29">
      <formula>AND(I$1&gt;=$E263,I$1&lt;=$F263,$H263&gt;0)</formula>
    </cfRule>
  </conditionalFormatting>
  <conditionalFormatting sqref="I264:HT264">
    <cfRule type="expression" priority="524" aboveAverage="0" equalAverage="0" bottom="0" percent="0" rank="0" text="" dxfId="28">
      <formula>AND(I$1&gt;=$E264,I$1&lt;=$F264,$H264=0)</formula>
    </cfRule>
    <cfRule type="expression" priority="525" aboveAverage="0" equalAverage="0" bottom="0" percent="0" rank="0" text="" dxfId="29">
      <formula>AND(I$1&gt;=$E264,I$1&lt;=$F264,$H264&gt;0)</formula>
    </cfRule>
  </conditionalFormatting>
  <conditionalFormatting sqref="I265:HT265">
    <cfRule type="expression" priority="526" aboveAverage="0" equalAverage="0" bottom="0" percent="0" rank="0" text="" dxfId="28">
      <formula>AND(I$1&gt;=$E265,I$1&lt;=$F265,$H265=0)</formula>
    </cfRule>
    <cfRule type="expression" priority="527" aboveAverage="0" equalAverage="0" bottom="0" percent="0" rank="0" text="" dxfId="29">
      <formula>AND(I$1&gt;=$E265,I$1&lt;=$F265,$H265&gt;0)</formula>
    </cfRule>
  </conditionalFormatting>
  <conditionalFormatting sqref="I266:HT266">
    <cfRule type="expression" priority="528" aboveAverage="0" equalAverage="0" bottom="0" percent="0" rank="0" text="" dxfId="28">
      <formula>AND(I$1&gt;=$E266,I$1&lt;=$F266,$H266=0)</formula>
    </cfRule>
    <cfRule type="expression" priority="529" aboveAverage="0" equalAverage="0" bottom="0" percent="0" rank="0" text="" dxfId="29">
      <formula>AND(I$1&gt;=$E266,I$1&lt;=$F266,$H266&gt;0)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N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222" min="3" style="0" width="3"/>
  </cols>
  <sheetData>
    <row r="1" customFormat="false" ht="15" hidden="false" customHeight="false" outlineLevel="0" collapsed="false">
      <c r="A1" s="40" t="s">
        <v>119</v>
      </c>
      <c r="B1" s="40" t="s">
        <v>3</v>
      </c>
      <c r="C1" s="52" t="n">
        <v>46113</v>
      </c>
      <c r="D1" s="52" t="n">
        <v>46114</v>
      </c>
      <c r="E1" s="52" t="n">
        <v>46115</v>
      </c>
      <c r="F1" s="52" t="n">
        <v>46116</v>
      </c>
      <c r="G1" s="52" t="n">
        <v>46117</v>
      </c>
      <c r="H1" s="52" t="n">
        <v>46118</v>
      </c>
      <c r="I1" s="52" t="n">
        <v>46119</v>
      </c>
      <c r="J1" s="52" t="n">
        <v>46120</v>
      </c>
      <c r="K1" s="52" t="n">
        <v>46121</v>
      </c>
      <c r="L1" s="52" t="n">
        <v>46122</v>
      </c>
      <c r="M1" s="52" t="n">
        <v>46123</v>
      </c>
      <c r="N1" s="52" t="n">
        <v>46124</v>
      </c>
      <c r="O1" s="52" t="n">
        <v>46125</v>
      </c>
      <c r="P1" s="52" t="n">
        <v>46126</v>
      </c>
      <c r="Q1" s="52" t="n">
        <v>46127</v>
      </c>
      <c r="R1" s="52" t="n">
        <v>46128</v>
      </c>
      <c r="S1" s="52" t="n">
        <v>46129</v>
      </c>
      <c r="T1" s="52" t="n">
        <v>46130</v>
      </c>
      <c r="U1" s="52" t="n">
        <v>46131</v>
      </c>
      <c r="V1" s="52" t="n">
        <v>46132</v>
      </c>
      <c r="W1" s="52" t="n">
        <v>46133</v>
      </c>
      <c r="X1" s="52" t="n">
        <v>46134</v>
      </c>
      <c r="Y1" s="52" t="n">
        <v>46135</v>
      </c>
      <c r="Z1" s="52" t="n">
        <v>46136</v>
      </c>
      <c r="AA1" s="52" t="n">
        <v>46137</v>
      </c>
      <c r="AB1" s="52" t="n">
        <v>46138</v>
      </c>
      <c r="AC1" s="52" t="n">
        <v>46139</v>
      </c>
      <c r="AD1" s="52" t="n">
        <v>46140</v>
      </c>
      <c r="AE1" s="52" t="n">
        <v>46141</v>
      </c>
      <c r="AF1" s="52" t="n">
        <v>46142</v>
      </c>
      <c r="AG1" s="52" t="n">
        <v>46143</v>
      </c>
      <c r="AH1" s="52" t="n">
        <v>46144</v>
      </c>
      <c r="AI1" s="52" t="n">
        <v>46145</v>
      </c>
      <c r="AJ1" s="52" t="n">
        <v>46146</v>
      </c>
      <c r="AK1" s="52" t="n">
        <v>46147</v>
      </c>
      <c r="AL1" s="52" t="n">
        <v>46148</v>
      </c>
      <c r="AM1" s="52" t="n">
        <v>46149</v>
      </c>
      <c r="AN1" s="52" t="n">
        <v>46150</v>
      </c>
      <c r="AO1" s="52" t="n">
        <v>46151</v>
      </c>
      <c r="AP1" s="52" t="n">
        <v>46152</v>
      </c>
      <c r="AQ1" s="52" t="n">
        <v>46153</v>
      </c>
      <c r="AR1" s="52" t="n">
        <v>46154</v>
      </c>
      <c r="AS1" s="52" t="n">
        <v>46155</v>
      </c>
      <c r="AT1" s="52" t="n">
        <v>46156</v>
      </c>
      <c r="AU1" s="52" t="n">
        <v>46157</v>
      </c>
      <c r="AV1" s="52" t="n">
        <v>46158</v>
      </c>
      <c r="AW1" s="52" t="n">
        <v>46159</v>
      </c>
      <c r="AX1" s="52" t="n">
        <v>46160</v>
      </c>
      <c r="AY1" s="52" t="n">
        <v>46161</v>
      </c>
      <c r="AZ1" s="52" t="n">
        <v>46162</v>
      </c>
      <c r="BA1" s="52" t="n">
        <v>46163</v>
      </c>
      <c r="BB1" s="52" t="n">
        <v>46164</v>
      </c>
      <c r="BC1" s="52" t="n">
        <v>46165</v>
      </c>
      <c r="BD1" s="52" t="n">
        <v>46166</v>
      </c>
      <c r="BE1" s="52" t="n">
        <v>46167</v>
      </c>
      <c r="BF1" s="52" t="n">
        <v>46168</v>
      </c>
      <c r="BG1" s="52" t="n">
        <v>46169</v>
      </c>
      <c r="BH1" s="52" t="n">
        <v>46170</v>
      </c>
      <c r="BI1" s="52" t="n">
        <v>46171</v>
      </c>
      <c r="BJ1" s="52" t="n">
        <v>46172</v>
      </c>
      <c r="BK1" s="52" t="n">
        <v>46173</v>
      </c>
      <c r="BL1" s="52" t="n">
        <v>46174</v>
      </c>
      <c r="BM1" s="52" t="n">
        <v>46175</v>
      </c>
      <c r="BN1" s="52" t="n">
        <v>46176</v>
      </c>
      <c r="BO1" s="52" t="n">
        <v>46177</v>
      </c>
      <c r="BP1" s="52" t="n">
        <v>46178</v>
      </c>
      <c r="BQ1" s="52" t="n">
        <v>46179</v>
      </c>
      <c r="BR1" s="52" t="n">
        <v>46180</v>
      </c>
      <c r="BS1" s="52" t="n">
        <v>46181</v>
      </c>
      <c r="BT1" s="52" t="n">
        <v>46182</v>
      </c>
      <c r="BU1" s="52" t="n">
        <v>46183</v>
      </c>
      <c r="BV1" s="52" t="n">
        <v>46184</v>
      </c>
      <c r="BW1" s="52" t="n">
        <v>46185</v>
      </c>
      <c r="BX1" s="52" t="n">
        <v>46186</v>
      </c>
      <c r="BY1" s="52" t="n">
        <v>46187</v>
      </c>
      <c r="BZ1" s="52" t="n">
        <v>46188</v>
      </c>
      <c r="CA1" s="52" t="n">
        <v>46189</v>
      </c>
      <c r="CB1" s="52" t="n">
        <v>46190</v>
      </c>
      <c r="CC1" s="52" t="n">
        <v>46191</v>
      </c>
      <c r="CD1" s="52" t="n">
        <v>46192</v>
      </c>
      <c r="CE1" s="52" t="n">
        <v>46193</v>
      </c>
      <c r="CF1" s="52" t="n">
        <v>46194</v>
      </c>
      <c r="CG1" s="52" t="n">
        <v>46195</v>
      </c>
      <c r="CH1" s="52" t="n">
        <v>46196</v>
      </c>
      <c r="CI1" s="52" t="n">
        <v>46197</v>
      </c>
      <c r="CJ1" s="52" t="n">
        <v>46198</v>
      </c>
      <c r="CK1" s="52" t="n">
        <v>46199</v>
      </c>
      <c r="CL1" s="52" t="n">
        <v>46200</v>
      </c>
      <c r="CM1" s="52" t="n">
        <v>46201</v>
      </c>
      <c r="CN1" s="52" t="n">
        <v>46202</v>
      </c>
      <c r="CO1" s="52" t="n">
        <v>46203</v>
      </c>
      <c r="CP1" s="52" t="n">
        <v>46204</v>
      </c>
      <c r="CQ1" s="52" t="n">
        <v>46205</v>
      </c>
      <c r="CR1" s="52" t="n">
        <v>46206</v>
      </c>
      <c r="CS1" s="52" t="n">
        <v>46207</v>
      </c>
      <c r="CT1" s="52" t="n">
        <v>46208</v>
      </c>
      <c r="CU1" s="52" t="n">
        <v>46209</v>
      </c>
      <c r="CV1" s="52" t="n">
        <v>46210</v>
      </c>
      <c r="CW1" s="52" t="n">
        <v>46211</v>
      </c>
      <c r="CX1" s="52" t="n">
        <v>46212</v>
      </c>
      <c r="CY1" s="52" t="n">
        <v>46213</v>
      </c>
      <c r="CZ1" s="52" t="n">
        <v>46214</v>
      </c>
      <c r="DA1" s="52" t="n">
        <v>46215</v>
      </c>
      <c r="DB1" s="52" t="n">
        <v>46216</v>
      </c>
      <c r="DC1" s="52" t="n">
        <v>46217</v>
      </c>
      <c r="DD1" s="52" t="n">
        <v>46218</v>
      </c>
      <c r="DE1" s="52" t="n">
        <v>46219</v>
      </c>
      <c r="DF1" s="52" t="n">
        <v>46220</v>
      </c>
      <c r="DG1" s="52" t="n">
        <v>46221</v>
      </c>
      <c r="DH1" s="52" t="n">
        <v>46222</v>
      </c>
      <c r="DI1" s="52" t="n">
        <v>46223</v>
      </c>
      <c r="DJ1" s="52" t="n">
        <v>46224</v>
      </c>
      <c r="DK1" s="52" t="n">
        <v>46225</v>
      </c>
      <c r="DL1" s="52" t="n">
        <v>46226</v>
      </c>
      <c r="DM1" s="52" t="n">
        <v>46227</v>
      </c>
      <c r="DN1" s="52" t="n">
        <v>46228</v>
      </c>
      <c r="DO1" s="52" t="n">
        <v>46229</v>
      </c>
      <c r="DP1" s="52" t="n">
        <v>46230</v>
      </c>
      <c r="DQ1" s="52" t="n">
        <v>46231</v>
      </c>
      <c r="DR1" s="52" t="n">
        <v>46232</v>
      </c>
      <c r="DS1" s="52" t="n">
        <v>46233</v>
      </c>
      <c r="DT1" s="52" t="n">
        <v>46234</v>
      </c>
      <c r="DU1" s="52" t="n">
        <v>46235</v>
      </c>
      <c r="DV1" s="52" t="n">
        <v>46236</v>
      </c>
      <c r="DW1" s="52" t="n">
        <v>46237</v>
      </c>
      <c r="DX1" s="52" t="n">
        <v>46238</v>
      </c>
      <c r="DY1" s="52" t="n">
        <v>46239</v>
      </c>
      <c r="DZ1" s="52" t="n">
        <v>46240</v>
      </c>
      <c r="EA1" s="52" t="n">
        <v>46241</v>
      </c>
      <c r="EB1" s="52" t="n">
        <v>46242</v>
      </c>
      <c r="EC1" s="52" t="n">
        <v>46243</v>
      </c>
      <c r="ED1" s="52" t="n">
        <v>46244</v>
      </c>
      <c r="EE1" s="52" t="n">
        <v>46245</v>
      </c>
      <c r="EF1" s="52" t="n">
        <v>46246</v>
      </c>
      <c r="EG1" s="52" t="n">
        <v>46247</v>
      </c>
      <c r="EH1" s="52" t="n">
        <v>46248</v>
      </c>
      <c r="EI1" s="52" t="n">
        <v>46249</v>
      </c>
      <c r="EJ1" s="52" t="n">
        <v>46250</v>
      </c>
      <c r="EK1" s="52" t="n">
        <v>46251</v>
      </c>
      <c r="EL1" s="52" t="n">
        <v>46252</v>
      </c>
      <c r="EM1" s="52" t="n">
        <v>46253</v>
      </c>
      <c r="EN1" s="52" t="n">
        <v>46254</v>
      </c>
      <c r="EO1" s="52" t="n">
        <v>46255</v>
      </c>
      <c r="EP1" s="52" t="n">
        <v>46256</v>
      </c>
      <c r="EQ1" s="52" t="n">
        <v>46257</v>
      </c>
      <c r="ER1" s="52" t="n">
        <v>46258</v>
      </c>
      <c r="ES1" s="52" t="n">
        <v>46259</v>
      </c>
      <c r="ET1" s="52" t="n">
        <v>46260</v>
      </c>
      <c r="EU1" s="52" t="n">
        <v>46261</v>
      </c>
      <c r="EV1" s="52" t="n">
        <v>46262</v>
      </c>
      <c r="EW1" s="52" t="n">
        <v>46263</v>
      </c>
      <c r="EX1" s="52" t="n">
        <v>46264</v>
      </c>
      <c r="EY1" s="52" t="n">
        <v>46265</v>
      </c>
      <c r="EZ1" s="52" t="n">
        <v>46266</v>
      </c>
      <c r="FA1" s="52" t="n">
        <v>46267</v>
      </c>
      <c r="FB1" s="52" t="n">
        <v>46268</v>
      </c>
      <c r="FC1" s="52" t="n">
        <v>46269</v>
      </c>
      <c r="FD1" s="52" t="n">
        <v>46270</v>
      </c>
      <c r="FE1" s="52" t="n">
        <v>46271</v>
      </c>
      <c r="FF1" s="52" t="n">
        <v>46272</v>
      </c>
      <c r="FG1" s="52" t="n">
        <v>46273</v>
      </c>
      <c r="FH1" s="52" t="n">
        <v>46274</v>
      </c>
      <c r="FI1" s="52" t="n">
        <v>46275</v>
      </c>
      <c r="FJ1" s="52" t="n">
        <v>46276</v>
      </c>
      <c r="FK1" s="52" t="n">
        <v>46277</v>
      </c>
      <c r="FL1" s="52" t="n">
        <v>46278</v>
      </c>
      <c r="FM1" s="52" t="n">
        <v>46279</v>
      </c>
      <c r="FN1" s="52" t="n">
        <v>46280</v>
      </c>
      <c r="FO1" s="52" t="n">
        <v>46281</v>
      </c>
      <c r="FP1" s="52" t="n">
        <v>46282</v>
      </c>
      <c r="FQ1" s="52" t="n">
        <v>46283</v>
      </c>
      <c r="FR1" s="52" t="n">
        <v>46284</v>
      </c>
      <c r="FS1" s="52" t="n">
        <v>46285</v>
      </c>
      <c r="FT1" s="52" t="n">
        <v>46286</v>
      </c>
      <c r="FU1" s="52" t="n">
        <v>46287</v>
      </c>
      <c r="FV1" s="52" t="n">
        <v>46288</v>
      </c>
      <c r="FW1" s="52" t="n">
        <v>46289</v>
      </c>
      <c r="FX1" s="52" t="n">
        <v>46290</v>
      </c>
      <c r="FY1" s="52" t="n">
        <v>46291</v>
      </c>
      <c r="FZ1" s="52" t="n">
        <v>46292</v>
      </c>
      <c r="GA1" s="52" t="n">
        <v>46293</v>
      </c>
      <c r="GB1" s="52" t="n">
        <v>46294</v>
      </c>
      <c r="GC1" s="52" t="n">
        <v>46295</v>
      </c>
      <c r="GD1" s="52" t="n">
        <v>46296</v>
      </c>
      <c r="GE1" s="52" t="n">
        <v>46297</v>
      </c>
      <c r="GF1" s="52" t="n">
        <v>46298</v>
      </c>
      <c r="GG1" s="52" t="n">
        <v>46299</v>
      </c>
      <c r="GH1" s="52" t="n">
        <v>46300</v>
      </c>
      <c r="GI1" s="52" t="n">
        <v>46301</v>
      </c>
      <c r="GJ1" s="52" t="n">
        <v>46302</v>
      </c>
      <c r="GK1" s="52" t="n">
        <v>46303</v>
      </c>
      <c r="GL1" s="52" t="n">
        <v>46304</v>
      </c>
      <c r="GM1" s="52" t="n">
        <v>46305</v>
      </c>
      <c r="GN1" s="52" t="n">
        <v>46306</v>
      </c>
      <c r="GO1" s="52" t="n">
        <v>46307</v>
      </c>
      <c r="GP1" s="52" t="n">
        <v>46308</v>
      </c>
      <c r="GQ1" s="52" t="n">
        <v>46309</v>
      </c>
      <c r="GR1" s="52" t="n">
        <v>46310</v>
      </c>
      <c r="GS1" s="52" t="n">
        <v>46311</v>
      </c>
      <c r="GT1" s="52" t="n">
        <v>46312</v>
      </c>
      <c r="GU1" s="52" t="n">
        <v>46313</v>
      </c>
      <c r="GV1" s="52" t="n">
        <v>46314</v>
      </c>
      <c r="GW1" s="52" t="n">
        <v>46315</v>
      </c>
      <c r="GX1" s="52" t="n">
        <v>46316</v>
      </c>
      <c r="GY1" s="52" t="n">
        <v>46317</v>
      </c>
      <c r="GZ1" s="52" t="n">
        <v>46318</v>
      </c>
      <c r="HA1" s="52" t="n">
        <v>46319</v>
      </c>
      <c r="HB1" s="52" t="n">
        <v>46320</v>
      </c>
      <c r="HC1" s="52" t="n">
        <v>46321</v>
      </c>
      <c r="HD1" s="52" t="n">
        <v>46322</v>
      </c>
      <c r="HE1" s="52" t="n">
        <v>46323</v>
      </c>
      <c r="HF1" s="52" t="n">
        <v>46324</v>
      </c>
      <c r="HG1" s="52" t="n">
        <v>46325</v>
      </c>
      <c r="HH1" s="52" t="n">
        <v>46326</v>
      </c>
      <c r="HI1" s="52" t="n">
        <v>46327</v>
      </c>
      <c r="HJ1" s="52" t="n">
        <v>46328</v>
      </c>
      <c r="HK1" s="52" t="n">
        <v>46329</v>
      </c>
      <c r="HL1" s="52" t="n">
        <v>46330</v>
      </c>
      <c r="HM1" s="52" t="n">
        <v>46331</v>
      </c>
      <c r="HN1" s="52" t="n">
        <v>46332</v>
      </c>
    </row>
    <row r="2" customFormat="false" ht="16.4" hidden="false" customHeight="false" outlineLevel="0" collapsed="false">
      <c r="A2" s="0" t="s">
        <v>121</v>
      </c>
      <c r="B2" s="0" t="n">
        <v>1</v>
      </c>
      <c r="C2" s="0" t="n">
        <f aca="false">COUNTIFS('Schedule Engine'!$G:$G,$A2,'Schedule Engine'!$N:$N,"&lt;="&amp;C$1,'Schedule Engine'!$O:$O,"&gt;="&amp;C$1)</f>
        <v>0</v>
      </c>
      <c r="D2" s="0" t="n">
        <f aca="false">COUNTIFS('Schedule Engine'!$G:$G,$A2,'Schedule Engine'!$N:$N,"&lt;="&amp;D$1,'Schedule Engine'!$O:$O,"&gt;="&amp;D$1)</f>
        <v>0</v>
      </c>
      <c r="E2" s="0" t="n">
        <f aca="false">COUNTIFS('Schedule Engine'!$G:$G,$A2,'Schedule Engine'!$N:$N,"&lt;="&amp;E$1,'Schedule Engine'!$O:$O,"&gt;="&amp;E$1)</f>
        <v>0</v>
      </c>
      <c r="F2" s="0" t="n">
        <f aca="false">COUNTIFS('Schedule Engine'!$G:$G,$A2,'Schedule Engine'!$N:$N,"&lt;="&amp;F$1,'Schedule Engine'!$O:$O,"&gt;="&amp;F$1)</f>
        <v>0</v>
      </c>
      <c r="G2" s="0" t="n">
        <f aca="false">COUNTIFS('Schedule Engine'!$G:$G,$A2,'Schedule Engine'!$N:$N,"&lt;="&amp;G$1,'Schedule Engine'!$O:$O,"&gt;="&amp;G$1)</f>
        <v>0</v>
      </c>
      <c r="H2" s="0" t="n">
        <f aca="false">COUNTIFS('Schedule Engine'!$G:$G,$A2,'Schedule Engine'!$N:$N,"&lt;="&amp;H$1,'Schedule Engine'!$O:$O,"&gt;="&amp;H$1)</f>
        <v>0</v>
      </c>
      <c r="I2" s="0" t="n">
        <f aca="false">COUNTIFS('Schedule Engine'!$G:$G,$A2,'Schedule Engine'!$N:$N,"&lt;="&amp;I$1,'Schedule Engine'!$O:$O,"&gt;="&amp;I$1)</f>
        <v>0</v>
      </c>
      <c r="J2" s="0" t="n">
        <f aca="false">COUNTIFS('Schedule Engine'!$G:$G,$A2,'Schedule Engine'!$N:$N,"&lt;="&amp;J$1,'Schedule Engine'!$O:$O,"&gt;="&amp;J$1)</f>
        <v>0</v>
      </c>
      <c r="K2" s="0" t="n">
        <f aca="false">COUNTIFS('Schedule Engine'!$G:$G,$A2,'Schedule Engine'!$N:$N,"&lt;="&amp;K$1,'Schedule Engine'!$O:$O,"&gt;="&amp;K$1)</f>
        <v>0</v>
      </c>
      <c r="L2" s="0" t="n">
        <f aca="false">COUNTIFS('Schedule Engine'!$G:$G,$A2,'Schedule Engine'!$N:$N,"&lt;="&amp;L$1,'Schedule Engine'!$O:$O,"&gt;="&amp;L$1)</f>
        <v>0</v>
      </c>
      <c r="M2" s="0" t="n">
        <f aca="false">COUNTIFS('Schedule Engine'!$G:$G,$A2,'Schedule Engine'!$N:$N,"&lt;="&amp;M$1,'Schedule Engine'!$O:$O,"&gt;="&amp;M$1)</f>
        <v>0</v>
      </c>
      <c r="N2" s="0" t="n">
        <f aca="false">COUNTIFS('Schedule Engine'!$G:$G,$A2,'Schedule Engine'!$N:$N,"&lt;="&amp;N$1,'Schedule Engine'!$O:$O,"&gt;="&amp;N$1)</f>
        <v>0</v>
      </c>
      <c r="O2" s="0" t="n">
        <f aca="false">COUNTIFS('Schedule Engine'!$G:$G,$A2,'Schedule Engine'!$N:$N,"&lt;="&amp;O$1,'Schedule Engine'!$O:$O,"&gt;="&amp;O$1)</f>
        <v>0</v>
      </c>
      <c r="P2" s="0" t="n">
        <f aca="false">COUNTIFS('Schedule Engine'!$G:$G,$A2,'Schedule Engine'!$N:$N,"&lt;="&amp;P$1,'Schedule Engine'!$O:$O,"&gt;="&amp;P$1)</f>
        <v>0</v>
      </c>
      <c r="Q2" s="0" t="n">
        <f aca="false">COUNTIFS('Schedule Engine'!$G:$G,$A2,'Schedule Engine'!$N:$N,"&lt;="&amp;Q$1,'Schedule Engine'!$O:$O,"&gt;="&amp;Q$1)</f>
        <v>0</v>
      </c>
      <c r="R2" s="0" t="n">
        <f aca="false">COUNTIFS('Schedule Engine'!$G:$G,$A2,'Schedule Engine'!$N:$N,"&lt;="&amp;R$1,'Schedule Engine'!$O:$O,"&gt;="&amp;R$1)</f>
        <v>0</v>
      </c>
      <c r="S2" s="0" t="n">
        <f aca="false">COUNTIFS('Schedule Engine'!$G:$G,$A2,'Schedule Engine'!$N:$N,"&lt;="&amp;S$1,'Schedule Engine'!$O:$O,"&gt;="&amp;S$1)</f>
        <v>0</v>
      </c>
      <c r="T2" s="0" t="n">
        <f aca="false">COUNTIFS('Schedule Engine'!$G:$G,$A2,'Schedule Engine'!$N:$N,"&lt;="&amp;T$1,'Schedule Engine'!$O:$O,"&gt;="&amp;T$1)</f>
        <v>0</v>
      </c>
      <c r="U2" s="0" t="n">
        <f aca="false">COUNTIFS('Schedule Engine'!$G:$G,$A2,'Schedule Engine'!$N:$N,"&lt;="&amp;U$1,'Schedule Engine'!$O:$O,"&gt;="&amp;U$1)</f>
        <v>0</v>
      </c>
      <c r="V2" s="0" t="n">
        <f aca="false">COUNTIFS('Schedule Engine'!$G:$G,$A2,'Schedule Engine'!$N:$N,"&lt;="&amp;V$1,'Schedule Engine'!$O:$O,"&gt;="&amp;V$1)</f>
        <v>0</v>
      </c>
      <c r="W2" s="0" t="n">
        <f aca="false">COUNTIFS('Schedule Engine'!$G:$G,$A2,'Schedule Engine'!$N:$N,"&lt;="&amp;W$1,'Schedule Engine'!$O:$O,"&gt;="&amp;W$1)</f>
        <v>0</v>
      </c>
      <c r="X2" s="0" t="n">
        <f aca="false">COUNTIFS('Schedule Engine'!$G:$G,$A2,'Schedule Engine'!$N:$N,"&lt;="&amp;X$1,'Schedule Engine'!$O:$O,"&gt;="&amp;X$1)</f>
        <v>1</v>
      </c>
      <c r="Y2" s="0" t="n">
        <f aca="false">COUNTIFS('Schedule Engine'!$G:$G,$A2,'Schedule Engine'!$N:$N,"&lt;="&amp;Y$1,'Schedule Engine'!$O:$O,"&gt;="&amp;Y$1)</f>
        <v>1</v>
      </c>
      <c r="Z2" s="0" t="n">
        <f aca="false">COUNTIFS('Schedule Engine'!$G:$G,$A2,'Schedule Engine'!$N:$N,"&lt;="&amp;Z$1,'Schedule Engine'!$O:$O,"&gt;="&amp;Z$1)</f>
        <v>1</v>
      </c>
      <c r="AA2" s="0" t="n">
        <f aca="false">COUNTIFS('Schedule Engine'!$G:$G,$A2,'Schedule Engine'!$N:$N,"&lt;="&amp;AA$1,'Schedule Engine'!$O:$O,"&gt;="&amp;AA$1)</f>
        <v>1</v>
      </c>
      <c r="AB2" s="0" t="n">
        <f aca="false">COUNTIFS('Schedule Engine'!$G:$G,$A2,'Schedule Engine'!$N:$N,"&lt;="&amp;AB$1,'Schedule Engine'!$O:$O,"&gt;="&amp;AB$1)</f>
        <v>1</v>
      </c>
      <c r="AC2" s="0" t="n">
        <f aca="false">COUNTIFS('Schedule Engine'!$G:$G,$A2,'Schedule Engine'!$N:$N,"&lt;="&amp;AC$1,'Schedule Engine'!$O:$O,"&gt;="&amp;AC$1)</f>
        <v>1</v>
      </c>
      <c r="AD2" s="0" t="n">
        <f aca="false">COUNTIFS('Schedule Engine'!$G:$G,$A2,'Schedule Engine'!$N:$N,"&lt;="&amp;AD$1,'Schedule Engine'!$O:$O,"&gt;="&amp;AD$1)</f>
        <v>0</v>
      </c>
      <c r="AE2" s="0" t="n">
        <f aca="false">COUNTIFS('Schedule Engine'!$G:$G,$A2,'Schedule Engine'!$N:$N,"&lt;="&amp;AE$1,'Schedule Engine'!$O:$O,"&gt;="&amp;AE$1)</f>
        <v>0</v>
      </c>
      <c r="AF2" s="0" t="n">
        <f aca="false">COUNTIFS('Schedule Engine'!$G:$G,$A2,'Schedule Engine'!$N:$N,"&lt;="&amp;AF$1,'Schedule Engine'!$O:$O,"&gt;="&amp;AF$1)</f>
        <v>0</v>
      </c>
      <c r="AG2" s="0" t="n">
        <f aca="false">COUNTIFS('Schedule Engine'!$G:$G,$A2,'Schedule Engine'!$N:$N,"&lt;="&amp;AG$1,'Schedule Engine'!$O:$O,"&gt;="&amp;AG$1)</f>
        <v>0</v>
      </c>
      <c r="AH2" s="0" t="n">
        <f aca="false">COUNTIFS('Schedule Engine'!$G:$G,$A2,'Schedule Engine'!$N:$N,"&lt;="&amp;AH$1,'Schedule Engine'!$O:$O,"&gt;="&amp;AH$1)</f>
        <v>0</v>
      </c>
      <c r="AI2" s="0" t="n">
        <f aca="false">COUNTIFS('Schedule Engine'!$G:$G,$A2,'Schedule Engine'!$N:$N,"&lt;="&amp;AI$1,'Schedule Engine'!$O:$O,"&gt;="&amp;AI$1)</f>
        <v>0</v>
      </c>
      <c r="AJ2" s="0" t="n">
        <f aca="false">COUNTIFS('Schedule Engine'!$G:$G,$A2,'Schedule Engine'!$N:$N,"&lt;="&amp;AJ$1,'Schedule Engine'!$O:$O,"&gt;="&amp;AJ$1)</f>
        <v>0</v>
      </c>
      <c r="AK2" s="0" t="n">
        <f aca="false">COUNTIFS('Schedule Engine'!$G:$G,$A2,'Schedule Engine'!$N:$N,"&lt;="&amp;AK$1,'Schedule Engine'!$O:$O,"&gt;="&amp;AK$1)</f>
        <v>0</v>
      </c>
      <c r="AL2" s="0" t="n">
        <f aca="false">COUNTIFS('Schedule Engine'!$G:$G,$A2,'Schedule Engine'!$N:$N,"&lt;="&amp;AL$1,'Schedule Engine'!$O:$O,"&gt;="&amp;AL$1)</f>
        <v>0</v>
      </c>
      <c r="AM2" s="0" t="n">
        <f aca="false">COUNTIFS('Schedule Engine'!$G:$G,$A2,'Schedule Engine'!$N:$N,"&lt;="&amp;AM$1,'Schedule Engine'!$O:$O,"&gt;="&amp;AM$1)</f>
        <v>0</v>
      </c>
      <c r="AN2" s="0" t="n">
        <f aca="false">COUNTIFS('Schedule Engine'!$G:$G,$A2,'Schedule Engine'!$N:$N,"&lt;="&amp;AN$1,'Schedule Engine'!$O:$O,"&gt;="&amp;AN$1)</f>
        <v>0</v>
      </c>
      <c r="AO2" s="0" t="n">
        <f aca="false">COUNTIFS('Schedule Engine'!$G:$G,$A2,'Schedule Engine'!$N:$N,"&lt;="&amp;AO$1,'Schedule Engine'!$O:$O,"&gt;="&amp;AO$1)</f>
        <v>0</v>
      </c>
      <c r="AP2" s="0" t="n">
        <f aca="false">COUNTIFS('Schedule Engine'!$G:$G,$A2,'Schedule Engine'!$N:$N,"&lt;="&amp;AP$1,'Schedule Engine'!$O:$O,"&gt;="&amp;AP$1)</f>
        <v>0</v>
      </c>
      <c r="AQ2" s="0" t="n">
        <f aca="false">COUNTIFS('Schedule Engine'!$G:$G,$A2,'Schedule Engine'!$N:$N,"&lt;="&amp;AQ$1,'Schedule Engine'!$O:$O,"&gt;="&amp;AQ$1)</f>
        <v>0</v>
      </c>
      <c r="AR2" s="0" t="n">
        <f aca="false">COUNTIFS('Schedule Engine'!$G:$G,$A2,'Schedule Engine'!$N:$N,"&lt;="&amp;AR$1,'Schedule Engine'!$O:$O,"&gt;="&amp;AR$1)</f>
        <v>0</v>
      </c>
      <c r="AS2" s="0" t="n">
        <f aca="false">COUNTIFS('Schedule Engine'!$G:$G,$A2,'Schedule Engine'!$N:$N,"&lt;="&amp;AS$1,'Schedule Engine'!$O:$O,"&gt;="&amp;AS$1)</f>
        <v>1</v>
      </c>
      <c r="AT2" s="0" t="n">
        <f aca="false">COUNTIFS('Schedule Engine'!$G:$G,$A2,'Schedule Engine'!$N:$N,"&lt;="&amp;AT$1,'Schedule Engine'!$O:$O,"&gt;="&amp;AT$1)</f>
        <v>1</v>
      </c>
      <c r="AU2" s="0" t="n">
        <f aca="false">COUNTIFS('Schedule Engine'!$G:$G,$A2,'Schedule Engine'!$N:$N,"&lt;="&amp;AU$1,'Schedule Engine'!$O:$O,"&gt;="&amp;AU$1)</f>
        <v>1</v>
      </c>
      <c r="AV2" s="0" t="n">
        <f aca="false">COUNTIFS('Schedule Engine'!$G:$G,$A2,'Schedule Engine'!$N:$N,"&lt;="&amp;AV$1,'Schedule Engine'!$O:$O,"&gt;="&amp;AV$1)</f>
        <v>1</v>
      </c>
      <c r="AW2" s="0" t="n">
        <f aca="false">COUNTIFS('Schedule Engine'!$G:$G,$A2,'Schedule Engine'!$N:$N,"&lt;="&amp;AW$1,'Schedule Engine'!$O:$O,"&gt;="&amp;AW$1)</f>
        <v>1</v>
      </c>
      <c r="AX2" s="0" t="n">
        <f aca="false">COUNTIFS('Schedule Engine'!$G:$G,$A2,'Schedule Engine'!$N:$N,"&lt;="&amp;AX$1,'Schedule Engine'!$O:$O,"&gt;="&amp;AX$1)</f>
        <v>1</v>
      </c>
      <c r="AY2" s="0" t="n">
        <f aca="false">COUNTIFS('Schedule Engine'!$G:$G,$A2,'Schedule Engine'!$N:$N,"&lt;="&amp;AY$1,'Schedule Engine'!$O:$O,"&gt;="&amp;AY$1)</f>
        <v>0</v>
      </c>
      <c r="AZ2" s="0" t="n">
        <f aca="false">COUNTIFS('Schedule Engine'!$G:$G,$A2,'Schedule Engine'!$N:$N,"&lt;="&amp;AZ$1,'Schedule Engine'!$O:$O,"&gt;="&amp;AZ$1)</f>
        <v>0</v>
      </c>
      <c r="BA2" s="0" t="n">
        <f aca="false">COUNTIFS('Schedule Engine'!$G:$G,$A2,'Schedule Engine'!$N:$N,"&lt;="&amp;BA$1,'Schedule Engine'!$O:$O,"&gt;="&amp;BA$1)</f>
        <v>0</v>
      </c>
      <c r="BB2" s="0" t="n">
        <f aca="false">COUNTIFS('Schedule Engine'!$G:$G,$A2,'Schedule Engine'!$N:$N,"&lt;="&amp;BB$1,'Schedule Engine'!$O:$O,"&gt;="&amp;BB$1)</f>
        <v>0</v>
      </c>
      <c r="BC2" s="0" t="n">
        <f aca="false">COUNTIFS('Schedule Engine'!$G:$G,$A2,'Schedule Engine'!$N:$N,"&lt;="&amp;BC$1,'Schedule Engine'!$O:$O,"&gt;="&amp;BC$1)</f>
        <v>0</v>
      </c>
      <c r="BD2" s="0" t="n">
        <f aca="false">COUNTIFS('Schedule Engine'!$G:$G,$A2,'Schedule Engine'!$N:$N,"&lt;="&amp;BD$1,'Schedule Engine'!$O:$O,"&gt;="&amp;BD$1)</f>
        <v>0</v>
      </c>
      <c r="BE2" s="0" t="n">
        <f aca="false">COUNTIFS('Schedule Engine'!$G:$G,$A2,'Schedule Engine'!$N:$N,"&lt;="&amp;BE$1,'Schedule Engine'!$O:$O,"&gt;="&amp;BE$1)</f>
        <v>1</v>
      </c>
      <c r="BF2" s="0" t="n">
        <f aca="false">COUNTIFS('Schedule Engine'!$G:$G,$A2,'Schedule Engine'!$N:$N,"&lt;="&amp;BF$1,'Schedule Engine'!$O:$O,"&gt;="&amp;BF$1)</f>
        <v>1</v>
      </c>
      <c r="BG2" s="0" t="n">
        <f aca="false">COUNTIFS('Schedule Engine'!$G:$G,$A2,'Schedule Engine'!$N:$N,"&lt;="&amp;BG$1,'Schedule Engine'!$O:$O,"&gt;="&amp;BG$1)</f>
        <v>1</v>
      </c>
      <c r="BH2" s="0" t="n">
        <f aca="false">COUNTIFS('Schedule Engine'!$G:$G,$A2,'Schedule Engine'!$N:$N,"&lt;="&amp;BH$1,'Schedule Engine'!$O:$O,"&gt;="&amp;BH$1)</f>
        <v>1</v>
      </c>
      <c r="BI2" s="0" t="n">
        <f aca="false">COUNTIFS('Schedule Engine'!$G:$G,$A2,'Schedule Engine'!$N:$N,"&lt;="&amp;BI$1,'Schedule Engine'!$O:$O,"&gt;="&amp;BI$1)</f>
        <v>0</v>
      </c>
      <c r="BJ2" s="0" t="n">
        <f aca="false">COUNTIFS('Schedule Engine'!$G:$G,$A2,'Schedule Engine'!$N:$N,"&lt;="&amp;BJ$1,'Schedule Engine'!$O:$O,"&gt;="&amp;BJ$1)</f>
        <v>0</v>
      </c>
      <c r="BK2" s="0" t="n">
        <f aca="false">COUNTIFS('Schedule Engine'!$G:$G,$A2,'Schedule Engine'!$N:$N,"&lt;="&amp;BK$1,'Schedule Engine'!$O:$O,"&gt;="&amp;BK$1)</f>
        <v>0</v>
      </c>
      <c r="BL2" s="0" t="n">
        <f aca="false">COUNTIFS('Schedule Engine'!$G:$G,$A2,'Schedule Engine'!$N:$N,"&lt;="&amp;BL$1,'Schedule Engine'!$O:$O,"&gt;="&amp;BL$1)</f>
        <v>0</v>
      </c>
      <c r="BM2" s="0" t="n">
        <f aca="false">COUNTIFS('Schedule Engine'!$G:$G,$A2,'Schedule Engine'!$N:$N,"&lt;="&amp;BM$1,'Schedule Engine'!$O:$O,"&gt;="&amp;BM$1)</f>
        <v>0</v>
      </c>
      <c r="BN2" s="0" t="n">
        <f aca="false">COUNTIFS('Schedule Engine'!$G:$G,$A2,'Schedule Engine'!$N:$N,"&lt;="&amp;BN$1,'Schedule Engine'!$O:$O,"&gt;="&amp;BN$1)</f>
        <v>1</v>
      </c>
      <c r="BO2" s="0" t="n">
        <f aca="false">COUNTIFS('Schedule Engine'!$G:$G,$A2,'Schedule Engine'!$N:$N,"&lt;="&amp;BO$1,'Schedule Engine'!$O:$O,"&gt;="&amp;BO$1)</f>
        <v>1</v>
      </c>
      <c r="BP2" s="0" t="n">
        <f aca="false">COUNTIFS('Schedule Engine'!$G:$G,$A2,'Schedule Engine'!$N:$N,"&lt;="&amp;BP$1,'Schedule Engine'!$O:$O,"&gt;="&amp;BP$1)</f>
        <v>1</v>
      </c>
      <c r="BQ2" s="0" t="n">
        <f aca="false">COUNTIFS('Schedule Engine'!$G:$G,$A2,'Schedule Engine'!$N:$N,"&lt;="&amp;BQ$1,'Schedule Engine'!$O:$O,"&gt;="&amp;BQ$1)</f>
        <v>1</v>
      </c>
      <c r="BR2" s="0" t="n">
        <f aca="false">COUNTIFS('Schedule Engine'!$G:$G,$A2,'Schedule Engine'!$N:$N,"&lt;="&amp;BR$1,'Schedule Engine'!$O:$O,"&gt;="&amp;BR$1)</f>
        <v>1</v>
      </c>
      <c r="BS2" s="0" t="n">
        <f aca="false">COUNTIFS('Schedule Engine'!$G:$G,$A2,'Schedule Engine'!$N:$N,"&lt;="&amp;BS$1,'Schedule Engine'!$O:$O,"&gt;="&amp;BS$1)</f>
        <v>1</v>
      </c>
      <c r="BT2" s="0" t="n">
        <f aca="false">COUNTIFS('Schedule Engine'!$G:$G,$A2,'Schedule Engine'!$N:$N,"&lt;="&amp;BT$1,'Schedule Engine'!$O:$O,"&gt;="&amp;BT$1)</f>
        <v>0</v>
      </c>
      <c r="BU2" s="0" t="n">
        <f aca="false">COUNTIFS('Schedule Engine'!$G:$G,$A2,'Schedule Engine'!$N:$N,"&lt;="&amp;BU$1,'Schedule Engine'!$O:$O,"&gt;="&amp;BU$1)</f>
        <v>0</v>
      </c>
      <c r="BV2" s="0" t="n">
        <f aca="false">COUNTIFS('Schedule Engine'!$G:$G,$A2,'Schedule Engine'!$N:$N,"&lt;="&amp;BV$1,'Schedule Engine'!$O:$O,"&gt;="&amp;BV$1)</f>
        <v>0</v>
      </c>
      <c r="BW2" s="0" t="n">
        <f aca="false">COUNTIFS('Schedule Engine'!$G:$G,$A2,'Schedule Engine'!$N:$N,"&lt;="&amp;BW$1,'Schedule Engine'!$O:$O,"&gt;="&amp;BW$1)</f>
        <v>0</v>
      </c>
      <c r="BX2" s="0" t="n">
        <f aca="false">COUNTIFS('Schedule Engine'!$G:$G,$A2,'Schedule Engine'!$N:$N,"&lt;="&amp;BX$1,'Schedule Engine'!$O:$O,"&gt;="&amp;BX$1)</f>
        <v>0</v>
      </c>
      <c r="BY2" s="0" t="n">
        <f aca="false">COUNTIFS('Schedule Engine'!$G:$G,$A2,'Schedule Engine'!$N:$N,"&lt;="&amp;BY$1,'Schedule Engine'!$O:$O,"&gt;="&amp;BY$1)</f>
        <v>0</v>
      </c>
      <c r="BZ2" s="0" t="n">
        <f aca="false">COUNTIFS('Schedule Engine'!$G:$G,$A2,'Schedule Engine'!$N:$N,"&lt;="&amp;BZ$1,'Schedule Engine'!$O:$O,"&gt;="&amp;BZ$1)</f>
        <v>1</v>
      </c>
      <c r="CA2" s="0" t="n">
        <f aca="false">COUNTIFS('Schedule Engine'!$G:$G,$A2,'Schedule Engine'!$N:$N,"&lt;="&amp;CA$1,'Schedule Engine'!$O:$O,"&gt;="&amp;CA$1)</f>
        <v>1</v>
      </c>
      <c r="CB2" s="0" t="n">
        <f aca="false">COUNTIFS('Schedule Engine'!$G:$G,$A2,'Schedule Engine'!$N:$N,"&lt;="&amp;CB$1,'Schedule Engine'!$O:$O,"&gt;="&amp;CB$1)</f>
        <v>1</v>
      </c>
      <c r="CC2" s="0" t="n">
        <f aca="false">COUNTIFS('Schedule Engine'!$G:$G,$A2,'Schedule Engine'!$N:$N,"&lt;="&amp;CC$1,'Schedule Engine'!$O:$O,"&gt;="&amp;CC$1)</f>
        <v>1</v>
      </c>
      <c r="CD2" s="0" t="n">
        <f aca="false">COUNTIFS('Schedule Engine'!$G:$G,$A2,'Schedule Engine'!$N:$N,"&lt;="&amp;CD$1,'Schedule Engine'!$O:$O,"&gt;="&amp;CD$1)</f>
        <v>0</v>
      </c>
      <c r="CE2" s="0" t="n">
        <f aca="false">COUNTIFS('Schedule Engine'!$G:$G,$A2,'Schedule Engine'!$N:$N,"&lt;="&amp;CE$1,'Schedule Engine'!$O:$O,"&gt;="&amp;CE$1)</f>
        <v>0</v>
      </c>
      <c r="CF2" s="0" t="n">
        <f aca="false">COUNTIFS('Schedule Engine'!$G:$G,$A2,'Schedule Engine'!$N:$N,"&lt;="&amp;CF$1,'Schedule Engine'!$O:$O,"&gt;="&amp;CF$1)</f>
        <v>0</v>
      </c>
      <c r="CG2" s="0" t="n">
        <f aca="false">COUNTIFS('Schedule Engine'!$G:$G,$A2,'Schedule Engine'!$N:$N,"&lt;="&amp;CG$1,'Schedule Engine'!$O:$O,"&gt;="&amp;CG$1)</f>
        <v>0</v>
      </c>
      <c r="CH2" s="0" t="n">
        <f aca="false">COUNTIFS('Schedule Engine'!$G:$G,$A2,'Schedule Engine'!$N:$N,"&lt;="&amp;CH$1,'Schedule Engine'!$O:$O,"&gt;="&amp;CH$1)</f>
        <v>0</v>
      </c>
      <c r="CI2" s="0" t="n">
        <f aca="false">COUNTIFS('Schedule Engine'!$G:$G,$A2,'Schedule Engine'!$N:$N,"&lt;="&amp;CI$1,'Schedule Engine'!$O:$O,"&gt;="&amp;CI$1)</f>
        <v>1</v>
      </c>
      <c r="CJ2" s="0" t="n">
        <f aca="false">COUNTIFS('Schedule Engine'!$G:$G,$A2,'Schedule Engine'!$N:$N,"&lt;="&amp;CJ$1,'Schedule Engine'!$O:$O,"&gt;="&amp;CJ$1)</f>
        <v>1</v>
      </c>
      <c r="CK2" s="0" t="n">
        <f aca="false">COUNTIFS('Schedule Engine'!$G:$G,$A2,'Schedule Engine'!$N:$N,"&lt;="&amp;CK$1,'Schedule Engine'!$O:$O,"&gt;="&amp;CK$1)</f>
        <v>1</v>
      </c>
      <c r="CL2" s="0" t="n">
        <f aca="false">COUNTIFS('Schedule Engine'!$G:$G,$A2,'Schedule Engine'!$N:$N,"&lt;="&amp;CL$1,'Schedule Engine'!$O:$O,"&gt;="&amp;CL$1)</f>
        <v>1</v>
      </c>
      <c r="CM2" s="0" t="n">
        <f aca="false">COUNTIFS('Schedule Engine'!$G:$G,$A2,'Schedule Engine'!$N:$N,"&lt;="&amp;CM$1,'Schedule Engine'!$O:$O,"&gt;="&amp;CM$1)</f>
        <v>1</v>
      </c>
      <c r="CN2" s="0" t="n">
        <f aca="false">COUNTIFS('Schedule Engine'!$G:$G,$A2,'Schedule Engine'!$N:$N,"&lt;="&amp;CN$1,'Schedule Engine'!$O:$O,"&gt;="&amp;CN$1)</f>
        <v>1</v>
      </c>
      <c r="CO2" s="0" t="n">
        <f aca="false">COUNTIFS('Schedule Engine'!$G:$G,$A2,'Schedule Engine'!$N:$N,"&lt;="&amp;CO$1,'Schedule Engine'!$O:$O,"&gt;="&amp;CO$1)</f>
        <v>0</v>
      </c>
      <c r="CP2" s="0" t="n">
        <f aca="false">COUNTIFS('Schedule Engine'!$G:$G,$A2,'Schedule Engine'!$N:$N,"&lt;="&amp;CP$1,'Schedule Engine'!$O:$O,"&gt;="&amp;CP$1)</f>
        <v>0</v>
      </c>
      <c r="CQ2" s="0" t="n">
        <f aca="false">COUNTIFS('Schedule Engine'!$G:$G,$A2,'Schedule Engine'!$N:$N,"&lt;="&amp;CQ$1,'Schedule Engine'!$O:$O,"&gt;="&amp;CQ$1)</f>
        <v>0</v>
      </c>
      <c r="CR2" s="0" t="n">
        <f aca="false">COUNTIFS('Schedule Engine'!$G:$G,$A2,'Schedule Engine'!$N:$N,"&lt;="&amp;CR$1,'Schedule Engine'!$O:$O,"&gt;="&amp;CR$1)</f>
        <v>0</v>
      </c>
      <c r="CS2" s="0" t="n">
        <f aca="false">COUNTIFS('Schedule Engine'!$G:$G,$A2,'Schedule Engine'!$N:$N,"&lt;="&amp;CS$1,'Schedule Engine'!$O:$O,"&gt;="&amp;CS$1)</f>
        <v>0</v>
      </c>
      <c r="CT2" s="0" t="n">
        <f aca="false">COUNTIFS('Schedule Engine'!$G:$G,$A2,'Schedule Engine'!$N:$N,"&lt;="&amp;CT$1,'Schedule Engine'!$O:$O,"&gt;="&amp;CT$1)</f>
        <v>0</v>
      </c>
      <c r="CU2" s="0" t="n">
        <f aca="false">COUNTIFS('Schedule Engine'!$G:$G,$A2,'Schedule Engine'!$N:$N,"&lt;="&amp;CU$1,'Schedule Engine'!$O:$O,"&gt;="&amp;CU$1)</f>
        <v>1</v>
      </c>
      <c r="CV2" s="0" t="n">
        <f aca="false">COUNTIFS('Schedule Engine'!$G:$G,$A2,'Schedule Engine'!$N:$N,"&lt;="&amp;CV$1,'Schedule Engine'!$O:$O,"&gt;="&amp;CV$1)</f>
        <v>1</v>
      </c>
      <c r="CW2" s="0" t="n">
        <f aca="false">COUNTIFS('Schedule Engine'!$G:$G,$A2,'Schedule Engine'!$N:$N,"&lt;="&amp;CW$1,'Schedule Engine'!$O:$O,"&gt;="&amp;CW$1)</f>
        <v>1</v>
      </c>
      <c r="CX2" s="0" t="n">
        <f aca="false">COUNTIFS('Schedule Engine'!$G:$G,$A2,'Schedule Engine'!$N:$N,"&lt;="&amp;CX$1,'Schedule Engine'!$O:$O,"&gt;="&amp;CX$1)</f>
        <v>1</v>
      </c>
      <c r="CY2" s="0" t="n">
        <f aca="false">COUNTIFS('Schedule Engine'!$G:$G,$A2,'Schedule Engine'!$N:$N,"&lt;="&amp;CY$1,'Schedule Engine'!$O:$O,"&gt;="&amp;CY$1)</f>
        <v>0</v>
      </c>
      <c r="CZ2" s="0" t="n">
        <f aca="false">COUNTIFS('Schedule Engine'!$G:$G,$A2,'Schedule Engine'!$N:$N,"&lt;="&amp;CZ$1,'Schedule Engine'!$O:$O,"&gt;="&amp;CZ$1)</f>
        <v>0</v>
      </c>
      <c r="DA2" s="0" t="n">
        <f aca="false">COUNTIFS('Schedule Engine'!$G:$G,$A2,'Schedule Engine'!$N:$N,"&lt;="&amp;DA$1,'Schedule Engine'!$O:$O,"&gt;="&amp;DA$1)</f>
        <v>0</v>
      </c>
      <c r="DB2" s="0" t="n">
        <f aca="false">COUNTIFS('Schedule Engine'!$G:$G,$A2,'Schedule Engine'!$N:$N,"&lt;="&amp;DB$1,'Schedule Engine'!$O:$O,"&gt;="&amp;DB$1)</f>
        <v>0</v>
      </c>
      <c r="DC2" s="0" t="n">
        <f aca="false">COUNTIFS('Schedule Engine'!$G:$G,$A2,'Schedule Engine'!$N:$N,"&lt;="&amp;DC$1,'Schedule Engine'!$O:$O,"&gt;="&amp;DC$1)</f>
        <v>0</v>
      </c>
      <c r="DD2" s="0" t="n">
        <f aca="false">COUNTIFS('Schedule Engine'!$G:$G,$A2,'Schedule Engine'!$N:$N,"&lt;="&amp;DD$1,'Schedule Engine'!$O:$O,"&gt;="&amp;DD$1)</f>
        <v>1</v>
      </c>
      <c r="DE2" s="0" t="n">
        <f aca="false">COUNTIFS('Schedule Engine'!$G:$G,$A2,'Schedule Engine'!$N:$N,"&lt;="&amp;DE$1,'Schedule Engine'!$O:$O,"&gt;="&amp;DE$1)</f>
        <v>1</v>
      </c>
      <c r="DF2" s="0" t="n">
        <f aca="false">COUNTIFS('Schedule Engine'!$G:$G,$A2,'Schedule Engine'!$N:$N,"&lt;="&amp;DF$1,'Schedule Engine'!$O:$O,"&gt;="&amp;DF$1)</f>
        <v>1</v>
      </c>
      <c r="DG2" s="0" t="n">
        <f aca="false">COUNTIFS('Schedule Engine'!$G:$G,$A2,'Schedule Engine'!$N:$N,"&lt;="&amp;DG$1,'Schedule Engine'!$O:$O,"&gt;="&amp;DG$1)</f>
        <v>1</v>
      </c>
      <c r="DH2" s="0" t="n">
        <f aca="false">COUNTIFS('Schedule Engine'!$G:$G,$A2,'Schedule Engine'!$N:$N,"&lt;="&amp;DH$1,'Schedule Engine'!$O:$O,"&gt;="&amp;DH$1)</f>
        <v>1</v>
      </c>
      <c r="DI2" s="0" t="n">
        <f aca="false">COUNTIFS('Schedule Engine'!$G:$G,$A2,'Schedule Engine'!$N:$N,"&lt;="&amp;DI$1,'Schedule Engine'!$O:$O,"&gt;="&amp;DI$1)</f>
        <v>1</v>
      </c>
      <c r="DJ2" s="0" t="n">
        <f aca="false">COUNTIFS('Schedule Engine'!$G:$G,$A2,'Schedule Engine'!$N:$N,"&lt;="&amp;DJ$1,'Schedule Engine'!$O:$O,"&gt;="&amp;DJ$1)</f>
        <v>0</v>
      </c>
      <c r="DK2" s="0" t="n">
        <f aca="false">COUNTIFS('Schedule Engine'!$G:$G,$A2,'Schedule Engine'!$N:$N,"&lt;="&amp;DK$1,'Schedule Engine'!$O:$O,"&gt;="&amp;DK$1)</f>
        <v>0</v>
      </c>
      <c r="DL2" s="0" t="n">
        <f aca="false">COUNTIFS('Schedule Engine'!$G:$G,$A2,'Schedule Engine'!$N:$N,"&lt;="&amp;DL$1,'Schedule Engine'!$O:$O,"&gt;="&amp;DL$1)</f>
        <v>0</v>
      </c>
      <c r="DM2" s="0" t="n">
        <f aca="false">COUNTIFS('Schedule Engine'!$G:$G,$A2,'Schedule Engine'!$N:$N,"&lt;="&amp;DM$1,'Schedule Engine'!$O:$O,"&gt;="&amp;DM$1)</f>
        <v>0</v>
      </c>
      <c r="DN2" s="0" t="n">
        <f aca="false">COUNTIFS('Schedule Engine'!$G:$G,$A2,'Schedule Engine'!$N:$N,"&lt;="&amp;DN$1,'Schedule Engine'!$O:$O,"&gt;="&amp;DN$1)</f>
        <v>0</v>
      </c>
      <c r="DO2" s="0" t="n">
        <f aca="false">COUNTIFS('Schedule Engine'!$G:$G,$A2,'Schedule Engine'!$N:$N,"&lt;="&amp;DO$1,'Schedule Engine'!$O:$O,"&gt;="&amp;DO$1)</f>
        <v>0</v>
      </c>
      <c r="DP2" s="0" t="n">
        <f aca="false">COUNTIFS('Schedule Engine'!$G:$G,$A2,'Schedule Engine'!$N:$N,"&lt;="&amp;DP$1,'Schedule Engine'!$O:$O,"&gt;="&amp;DP$1)</f>
        <v>1</v>
      </c>
      <c r="DQ2" s="0" t="n">
        <f aca="false">COUNTIFS('Schedule Engine'!$G:$G,$A2,'Schedule Engine'!$N:$N,"&lt;="&amp;DQ$1,'Schedule Engine'!$O:$O,"&gt;="&amp;DQ$1)</f>
        <v>1</v>
      </c>
      <c r="DR2" s="0" t="n">
        <f aca="false">COUNTIFS('Schedule Engine'!$G:$G,$A2,'Schedule Engine'!$N:$N,"&lt;="&amp;DR$1,'Schedule Engine'!$O:$O,"&gt;="&amp;DR$1)</f>
        <v>1</v>
      </c>
      <c r="DS2" s="0" t="n">
        <f aca="false">COUNTIFS('Schedule Engine'!$G:$G,$A2,'Schedule Engine'!$N:$N,"&lt;="&amp;DS$1,'Schedule Engine'!$O:$O,"&gt;="&amp;DS$1)</f>
        <v>1</v>
      </c>
      <c r="DT2" s="0" t="n">
        <f aca="false">COUNTIFS('Schedule Engine'!$G:$G,$A2,'Schedule Engine'!$N:$N,"&lt;="&amp;DT$1,'Schedule Engine'!$O:$O,"&gt;="&amp;DT$1)</f>
        <v>0</v>
      </c>
      <c r="DU2" s="0" t="n">
        <f aca="false">COUNTIFS('Schedule Engine'!$G:$G,$A2,'Schedule Engine'!$N:$N,"&lt;="&amp;DU$1,'Schedule Engine'!$O:$O,"&gt;="&amp;DU$1)</f>
        <v>0</v>
      </c>
      <c r="DV2" s="0" t="n">
        <f aca="false">COUNTIFS('Schedule Engine'!$G:$G,$A2,'Schedule Engine'!$N:$N,"&lt;="&amp;DV$1,'Schedule Engine'!$O:$O,"&gt;="&amp;DV$1)</f>
        <v>0</v>
      </c>
      <c r="DW2" s="0" t="n">
        <f aca="false">COUNTIFS('Schedule Engine'!$G:$G,$A2,'Schedule Engine'!$N:$N,"&lt;="&amp;DW$1,'Schedule Engine'!$O:$O,"&gt;="&amp;DW$1)</f>
        <v>0</v>
      </c>
      <c r="DX2" s="0" t="n">
        <f aca="false">COUNTIFS('Schedule Engine'!$G:$G,$A2,'Schedule Engine'!$N:$N,"&lt;="&amp;DX$1,'Schedule Engine'!$O:$O,"&gt;="&amp;DX$1)</f>
        <v>0</v>
      </c>
      <c r="DY2" s="0" t="n">
        <f aca="false">COUNTIFS('Schedule Engine'!$G:$G,$A2,'Schedule Engine'!$N:$N,"&lt;="&amp;DY$1,'Schedule Engine'!$O:$O,"&gt;="&amp;DY$1)</f>
        <v>1</v>
      </c>
      <c r="DZ2" s="0" t="n">
        <f aca="false">COUNTIFS('Schedule Engine'!$G:$G,$A2,'Schedule Engine'!$N:$N,"&lt;="&amp;DZ$1,'Schedule Engine'!$O:$O,"&gt;="&amp;DZ$1)</f>
        <v>1</v>
      </c>
      <c r="EA2" s="0" t="n">
        <f aca="false">COUNTIFS('Schedule Engine'!$G:$G,$A2,'Schedule Engine'!$N:$N,"&lt;="&amp;EA$1,'Schedule Engine'!$O:$O,"&gt;="&amp;EA$1)</f>
        <v>1</v>
      </c>
      <c r="EB2" s="0" t="n">
        <f aca="false">COUNTIFS('Schedule Engine'!$G:$G,$A2,'Schedule Engine'!$N:$N,"&lt;="&amp;EB$1,'Schedule Engine'!$O:$O,"&gt;="&amp;EB$1)</f>
        <v>1</v>
      </c>
      <c r="EC2" s="0" t="n">
        <f aca="false">COUNTIFS('Schedule Engine'!$G:$G,$A2,'Schedule Engine'!$N:$N,"&lt;="&amp;EC$1,'Schedule Engine'!$O:$O,"&gt;="&amp;EC$1)</f>
        <v>1</v>
      </c>
      <c r="ED2" s="0" t="n">
        <f aca="false">COUNTIFS('Schedule Engine'!$G:$G,$A2,'Schedule Engine'!$N:$N,"&lt;="&amp;ED$1,'Schedule Engine'!$O:$O,"&gt;="&amp;ED$1)</f>
        <v>1</v>
      </c>
      <c r="EE2" s="0" t="n">
        <f aca="false">COUNTIFS('Schedule Engine'!$G:$G,$A2,'Schedule Engine'!$N:$N,"&lt;="&amp;EE$1,'Schedule Engine'!$O:$O,"&gt;="&amp;EE$1)</f>
        <v>0</v>
      </c>
      <c r="EF2" s="0" t="n">
        <f aca="false">COUNTIFS('Schedule Engine'!$G:$G,$A2,'Schedule Engine'!$N:$N,"&lt;="&amp;EF$1,'Schedule Engine'!$O:$O,"&gt;="&amp;EF$1)</f>
        <v>0</v>
      </c>
      <c r="EG2" s="0" t="n">
        <f aca="false">COUNTIFS('Schedule Engine'!$G:$G,$A2,'Schedule Engine'!$N:$N,"&lt;="&amp;EG$1,'Schedule Engine'!$O:$O,"&gt;="&amp;EG$1)</f>
        <v>0</v>
      </c>
      <c r="EH2" s="0" t="n">
        <f aca="false">COUNTIFS('Schedule Engine'!$G:$G,$A2,'Schedule Engine'!$N:$N,"&lt;="&amp;EH$1,'Schedule Engine'!$O:$O,"&gt;="&amp;EH$1)</f>
        <v>0</v>
      </c>
      <c r="EI2" s="0" t="n">
        <f aca="false">COUNTIFS('Schedule Engine'!$G:$G,$A2,'Schedule Engine'!$N:$N,"&lt;="&amp;EI$1,'Schedule Engine'!$O:$O,"&gt;="&amp;EI$1)</f>
        <v>0</v>
      </c>
      <c r="EJ2" s="0" t="n">
        <f aca="false">COUNTIFS('Schedule Engine'!$G:$G,$A2,'Schedule Engine'!$N:$N,"&lt;="&amp;EJ$1,'Schedule Engine'!$O:$O,"&gt;="&amp;EJ$1)</f>
        <v>0</v>
      </c>
      <c r="EK2" s="0" t="n">
        <f aca="false">COUNTIFS('Schedule Engine'!$G:$G,$A2,'Schedule Engine'!$N:$N,"&lt;="&amp;EK$1,'Schedule Engine'!$O:$O,"&gt;="&amp;EK$1)</f>
        <v>1</v>
      </c>
      <c r="EL2" s="0" t="n">
        <f aca="false">COUNTIFS('Schedule Engine'!$G:$G,$A2,'Schedule Engine'!$N:$N,"&lt;="&amp;EL$1,'Schedule Engine'!$O:$O,"&gt;="&amp;EL$1)</f>
        <v>1</v>
      </c>
      <c r="EM2" s="0" t="n">
        <f aca="false">COUNTIFS('Schedule Engine'!$G:$G,$A2,'Schedule Engine'!$N:$N,"&lt;="&amp;EM$1,'Schedule Engine'!$O:$O,"&gt;="&amp;EM$1)</f>
        <v>1</v>
      </c>
      <c r="EN2" s="0" t="n">
        <f aca="false">COUNTIFS('Schedule Engine'!$G:$G,$A2,'Schedule Engine'!$N:$N,"&lt;="&amp;EN$1,'Schedule Engine'!$O:$O,"&gt;="&amp;EN$1)</f>
        <v>1</v>
      </c>
      <c r="EO2" s="0" t="n">
        <f aca="false">COUNTIFS('Schedule Engine'!$G:$G,$A2,'Schedule Engine'!$N:$N,"&lt;="&amp;EO$1,'Schedule Engine'!$O:$O,"&gt;="&amp;EO$1)</f>
        <v>0</v>
      </c>
      <c r="EP2" s="0" t="n">
        <f aca="false">COUNTIFS('Schedule Engine'!$G:$G,$A2,'Schedule Engine'!$N:$N,"&lt;="&amp;EP$1,'Schedule Engine'!$O:$O,"&gt;="&amp;EP$1)</f>
        <v>0</v>
      </c>
      <c r="EQ2" s="0" t="n">
        <f aca="false">COUNTIFS('Schedule Engine'!$G:$G,$A2,'Schedule Engine'!$N:$N,"&lt;="&amp;EQ$1,'Schedule Engine'!$O:$O,"&gt;="&amp;EQ$1)</f>
        <v>0</v>
      </c>
      <c r="ER2" s="0" t="n">
        <f aca="false">COUNTIFS('Schedule Engine'!$G:$G,$A2,'Schedule Engine'!$N:$N,"&lt;="&amp;ER$1,'Schedule Engine'!$O:$O,"&gt;="&amp;ER$1)</f>
        <v>0</v>
      </c>
      <c r="ES2" s="0" t="n">
        <f aca="false">COUNTIFS('Schedule Engine'!$G:$G,$A2,'Schedule Engine'!$N:$N,"&lt;="&amp;ES$1,'Schedule Engine'!$O:$O,"&gt;="&amp;ES$1)</f>
        <v>0</v>
      </c>
      <c r="ET2" s="0" t="n">
        <f aca="false">COUNTIFS('Schedule Engine'!$G:$G,$A2,'Schedule Engine'!$N:$N,"&lt;="&amp;ET$1,'Schedule Engine'!$O:$O,"&gt;="&amp;ET$1)</f>
        <v>0</v>
      </c>
      <c r="EU2" s="0" t="n">
        <f aca="false">COUNTIFS('Schedule Engine'!$G:$G,$A2,'Schedule Engine'!$N:$N,"&lt;="&amp;EU$1,'Schedule Engine'!$O:$O,"&gt;="&amp;EU$1)</f>
        <v>0</v>
      </c>
      <c r="EV2" s="0" t="n">
        <f aca="false">COUNTIFS('Schedule Engine'!$G:$G,$A2,'Schedule Engine'!$N:$N,"&lt;="&amp;EV$1,'Schedule Engine'!$O:$O,"&gt;="&amp;EV$1)</f>
        <v>0</v>
      </c>
      <c r="EW2" s="0" t="n">
        <f aca="false">COUNTIFS('Schedule Engine'!$G:$G,$A2,'Schedule Engine'!$N:$N,"&lt;="&amp;EW$1,'Schedule Engine'!$O:$O,"&gt;="&amp;EW$1)</f>
        <v>0</v>
      </c>
      <c r="EX2" s="0" t="n">
        <f aca="false">COUNTIFS('Schedule Engine'!$G:$G,$A2,'Schedule Engine'!$N:$N,"&lt;="&amp;EX$1,'Schedule Engine'!$O:$O,"&gt;="&amp;EX$1)</f>
        <v>0</v>
      </c>
      <c r="EY2" s="0" t="n">
        <f aca="false">COUNTIFS('Schedule Engine'!$G:$G,$A2,'Schedule Engine'!$N:$N,"&lt;="&amp;EY$1,'Schedule Engine'!$O:$O,"&gt;="&amp;EY$1)</f>
        <v>0</v>
      </c>
      <c r="EZ2" s="0" t="n">
        <f aca="false">COUNTIFS('Schedule Engine'!$G:$G,$A2,'Schedule Engine'!$N:$N,"&lt;="&amp;EZ$1,'Schedule Engine'!$O:$O,"&gt;="&amp;EZ$1)</f>
        <v>0</v>
      </c>
      <c r="FA2" s="0" t="n">
        <f aca="false">COUNTIFS('Schedule Engine'!$G:$G,$A2,'Schedule Engine'!$N:$N,"&lt;="&amp;FA$1,'Schedule Engine'!$O:$O,"&gt;="&amp;FA$1)</f>
        <v>0</v>
      </c>
      <c r="FB2" s="0" t="n">
        <f aca="false">COUNTIFS('Schedule Engine'!$G:$G,$A2,'Schedule Engine'!$N:$N,"&lt;="&amp;FB$1,'Schedule Engine'!$O:$O,"&gt;="&amp;FB$1)</f>
        <v>0</v>
      </c>
      <c r="FC2" s="0" t="n">
        <f aca="false">COUNTIFS('Schedule Engine'!$G:$G,$A2,'Schedule Engine'!$N:$N,"&lt;="&amp;FC$1,'Schedule Engine'!$O:$O,"&gt;="&amp;FC$1)</f>
        <v>0</v>
      </c>
      <c r="FD2" s="0" t="n">
        <f aca="false">COUNTIFS('Schedule Engine'!$G:$G,$A2,'Schedule Engine'!$N:$N,"&lt;="&amp;FD$1,'Schedule Engine'!$O:$O,"&gt;="&amp;FD$1)</f>
        <v>0</v>
      </c>
      <c r="FE2" s="0" t="n">
        <f aca="false">COUNTIFS('Schedule Engine'!$G:$G,$A2,'Schedule Engine'!$N:$N,"&lt;="&amp;FE$1,'Schedule Engine'!$O:$O,"&gt;="&amp;FE$1)</f>
        <v>0</v>
      </c>
      <c r="FF2" s="0" t="n">
        <f aca="false">COUNTIFS('Schedule Engine'!$G:$G,$A2,'Schedule Engine'!$N:$N,"&lt;="&amp;FF$1,'Schedule Engine'!$O:$O,"&gt;="&amp;FF$1)</f>
        <v>1</v>
      </c>
      <c r="FG2" s="0" t="n">
        <f aca="false">COUNTIFS('Schedule Engine'!$G:$G,$A2,'Schedule Engine'!$N:$N,"&lt;="&amp;FG$1,'Schedule Engine'!$O:$O,"&gt;="&amp;FG$1)</f>
        <v>1</v>
      </c>
      <c r="FH2" s="0" t="n">
        <f aca="false">COUNTIFS('Schedule Engine'!$G:$G,$A2,'Schedule Engine'!$N:$N,"&lt;="&amp;FH$1,'Schedule Engine'!$O:$O,"&gt;="&amp;FH$1)</f>
        <v>1</v>
      </c>
      <c r="FI2" s="0" t="n">
        <f aca="false">COUNTIFS('Schedule Engine'!$G:$G,$A2,'Schedule Engine'!$N:$N,"&lt;="&amp;FI$1,'Schedule Engine'!$O:$O,"&gt;="&amp;FI$1)</f>
        <v>1</v>
      </c>
      <c r="FJ2" s="0" t="n">
        <f aca="false">COUNTIFS('Schedule Engine'!$G:$G,$A2,'Schedule Engine'!$N:$N,"&lt;="&amp;FJ$1,'Schedule Engine'!$O:$O,"&gt;="&amp;FJ$1)</f>
        <v>0</v>
      </c>
      <c r="FK2" s="0" t="n">
        <f aca="false">COUNTIFS('Schedule Engine'!$G:$G,$A2,'Schedule Engine'!$N:$N,"&lt;="&amp;FK$1,'Schedule Engine'!$O:$O,"&gt;="&amp;FK$1)</f>
        <v>0</v>
      </c>
      <c r="FL2" s="0" t="n">
        <f aca="false">COUNTIFS('Schedule Engine'!$G:$G,$A2,'Schedule Engine'!$N:$N,"&lt;="&amp;FL$1,'Schedule Engine'!$O:$O,"&gt;="&amp;FL$1)</f>
        <v>0</v>
      </c>
      <c r="FM2" s="0" t="n">
        <f aca="false">COUNTIFS('Schedule Engine'!$G:$G,$A2,'Schedule Engine'!$N:$N,"&lt;="&amp;FM$1,'Schedule Engine'!$O:$O,"&gt;="&amp;FM$1)</f>
        <v>0</v>
      </c>
      <c r="FN2" s="0" t="n">
        <f aca="false">COUNTIFS('Schedule Engine'!$G:$G,$A2,'Schedule Engine'!$N:$N,"&lt;="&amp;FN$1,'Schedule Engine'!$O:$O,"&gt;="&amp;FN$1)</f>
        <v>0</v>
      </c>
      <c r="FO2" s="0" t="n">
        <f aca="false">COUNTIFS('Schedule Engine'!$G:$G,$A2,'Schedule Engine'!$N:$N,"&lt;="&amp;FO$1,'Schedule Engine'!$O:$O,"&gt;="&amp;FO$1)</f>
        <v>0</v>
      </c>
      <c r="FP2" s="0" t="n">
        <f aca="false">COUNTIFS('Schedule Engine'!$G:$G,$A2,'Schedule Engine'!$N:$N,"&lt;="&amp;FP$1,'Schedule Engine'!$O:$O,"&gt;="&amp;FP$1)</f>
        <v>0</v>
      </c>
      <c r="FQ2" s="0" t="n">
        <f aca="false">COUNTIFS('Schedule Engine'!$G:$G,$A2,'Schedule Engine'!$N:$N,"&lt;="&amp;FQ$1,'Schedule Engine'!$O:$O,"&gt;="&amp;FQ$1)</f>
        <v>0</v>
      </c>
      <c r="FR2" s="0" t="n">
        <f aca="false">COUNTIFS('Schedule Engine'!$G:$G,$A2,'Schedule Engine'!$N:$N,"&lt;="&amp;FR$1,'Schedule Engine'!$O:$O,"&gt;="&amp;FR$1)</f>
        <v>0</v>
      </c>
      <c r="FS2" s="0" t="n">
        <f aca="false">COUNTIFS('Schedule Engine'!$G:$G,$A2,'Schedule Engine'!$N:$N,"&lt;="&amp;FS$1,'Schedule Engine'!$O:$O,"&gt;="&amp;FS$1)</f>
        <v>0</v>
      </c>
      <c r="FT2" s="0" t="n">
        <f aca="false">COUNTIFS('Schedule Engine'!$G:$G,$A2,'Schedule Engine'!$N:$N,"&lt;="&amp;FT$1,'Schedule Engine'!$O:$O,"&gt;="&amp;FT$1)</f>
        <v>0</v>
      </c>
      <c r="FU2" s="0" t="n">
        <f aca="false">COUNTIFS('Schedule Engine'!$G:$G,$A2,'Schedule Engine'!$N:$N,"&lt;="&amp;FU$1,'Schedule Engine'!$O:$O,"&gt;="&amp;FU$1)</f>
        <v>0</v>
      </c>
      <c r="FV2" s="0" t="n">
        <f aca="false">COUNTIFS('Schedule Engine'!$G:$G,$A2,'Schedule Engine'!$N:$N,"&lt;="&amp;FV$1,'Schedule Engine'!$O:$O,"&gt;="&amp;FV$1)</f>
        <v>0</v>
      </c>
      <c r="FW2" s="0" t="n">
        <f aca="false">COUNTIFS('Schedule Engine'!$G:$G,$A2,'Schedule Engine'!$N:$N,"&lt;="&amp;FW$1,'Schedule Engine'!$O:$O,"&gt;="&amp;FW$1)</f>
        <v>0</v>
      </c>
      <c r="FX2" s="0" t="n">
        <f aca="false">COUNTIFS('Schedule Engine'!$G:$G,$A2,'Schedule Engine'!$N:$N,"&lt;="&amp;FX$1,'Schedule Engine'!$O:$O,"&gt;="&amp;FX$1)</f>
        <v>0</v>
      </c>
      <c r="FY2" s="0" t="n">
        <f aca="false">COUNTIFS('Schedule Engine'!$G:$G,$A2,'Schedule Engine'!$N:$N,"&lt;="&amp;FY$1,'Schedule Engine'!$O:$O,"&gt;="&amp;FY$1)</f>
        <v>0</v>
      </c>
      <c r="FZ2" s="0" t="n">
        <f aca="false">COUNTIFS('Schedule Engine'!$G:$G,$A2,'Schedule Engine'!$N:$N,"&lt;="&amp;FZ$1,'Schedule Engine'!$O:$O,"&gt;="&amp;FZ$1)</f>
        <v>0</v>
      </c>
      <c r="GA2" s="0" t="n">
        <f aca="false">COUNTIFS('Schedule Engine'!$G:$G,$A2,'Schedule Engine'!$N:$N,"&lt;="&amp;GA$1,'Schedule Engine'!$O:$O,"&gt;="&amp;GA$1)</f>
        <v>0</v>
      </c>
      <c r="GB2" s="0" t="n">
        <f aca="false">COUNTIFS('Schedule Engine'!$G:$G,$A2,'Schedule Engine'!$N:$N,"&lt;="&amp;GB$1,'Schedule Engine'!$O:$O,"&gt;="&amp;GB$1)</f>
        <v>0</v>
      </c>
      <c r="GC2" s="0" t="n">
        <f aca="false">COUNTIFS('Schedule Engine'!$G:$G,$A2,'Schedule Engine'!$N:$N,"&lt;="&amp;GC$1,'Schedule Engine'!$O:$O,"&gt;="&amp;GC$1)</f>
        <v>0</v>
      </c>
      <c r="GD2" s="0" t="n">
        <f aca="false">COUNTIFS('Schedule Engine'!$G:$G,$A2,'Schedule Engine'!$N:$N,"&lt;="&amp;GD$1,'Schedule Engine'!$O:$O,"&gt;="&amp;GD$1)</f>
        <v>0</v>
      </c>
      <c r="GE2" s="0" t="n">
        <f aca="false">COUNTIFS('Schedule Engine'!$G:$G,$A2,'Schedule Engine'!$N:$N,"&lt;="&amp;GE$1,'Schedule Engine'!$O:$O,"&gt;="&amp;GE$1)</f>
        <v>0</v>
      </c>
      <c r="GF2" s="0" t="n">
        <f aca="false">COUNTIFS('Schedule Engine'!$G:$G,$A2,'Schedule Engine'!$N:$N,"&lt;="&amp;GF$1,'Schedule Engine'!$O:$O,"&gt;="&amp;GF$1)</f>
        <v>0</v>
      </c>
      <c r="GG2" s="0" t="n">
        <f aca="false">COUNTIFS('Schedule Engine'!$G:$G,$A2,'Schedule Engine'!$N:$N,"&lt;="&amp;GG$1,'Schedule Engine'!$O:$O,"&gt;="&amp;GG$1)</f>
        <v>0</v>
      </c>
      <c r="GH2" s="0" t="n">
        <f aca="false">COUNTIFS('Schedule Engine'!$G:$G,$A2,'Schedule Engine'!$N:$N,"&lt;="&amp;GH$1,'Schedule Engine'!$O:$O,"&gt;="&amp;GH$1)</f>
        <v>0</v>
      </c>
      <c r="GI2" s="0" t="n">
        <f aca="false">COUNTIFS('Schedule Engine'!$G:$G,$A2,'Schedule Engine'!$N:$N,"&lt;="&amp;GI$1,'Schedule Engine'!$O:$O,"&gt;="&amp;GI$1)</f>
        <v>0</v>
      </c>
      <c r="GJ2" s="0" t="n">
        <f aca="false">COUNTIFS('Schedule Engine'!$G:$G,$A2,'Schedule Engine'!$N:$N,"&lt;="&amp;GJ$1,'Schedule Engine'!$O:$O,"&gt;="&amp;GJ$1)</f>
        <v>0</v>
      </c>
      <c r="GK2" s="0" t="n">
        <f aca="false">COUNTIFS('Schedule Engine'!$G:$G,$A2,'Schedule Engine'!$N:$N,"&lt;="&amp;GK$1,'Schedule Engine'!$O:$O,"&gt;="&amp;GK$1)</f>
        <v>0</v>
      </c>
      <c r="GL2" s="0" t="n">
        <f aca="false">COUNTIFS('Schedule Engine'!$G:$G,$A2,'Schedule Engine'!$N:$N,"&lt;="&amp;GL$1,'Schedule Engine'!$O:$O,"&gt;="&amp;GL$1)</f>
        <v>0</v>
      </c>
      <c r="GM2" s="0" t="n">
        <f aca="false">COUNTIFS('Schedule Engine'!$G:$G,$A2,'Schedule Engine'!$N:$N,"&lt;="&amp;GM$1,'Schedule Engine'!$O:$O,"&gt;="&amp;GM$1)</f>
        <v>0</v>
      </c>
      <c r="GN2" s="0" t="n">
        <f aca="false">COUNTIFS('Schedule Engine'!$G:$G,$A2,'Schedule Engine'!$N:$N,"&lt;="&amp;GN$1,'Schedule Engine'!$O:$O,"&gt;="&amp;GN$1)</f>
        <v>0</v>
      </c>
      <c r="GO2" s="0" t="n">
        <f aca="false">COUNTIFS('Schedule Engine'!$G:$G,$A2,'Schedule Engine'!$N:$N,"&lt;="&amp;GO$1,'Schedule Engine'!$O:$O,"&gt;="&amp;GO$1)</f>
        <v>0</v>
      </c>
      <c r="GP2" s="0" t="n">
        <f aca="false">COUNTIFS('Schedule Engine'!$G:$G,$A2,'Schedule Engine'!$N:$N,"&lt;="&amp;GP$1,'Schedule Engine'!$O:$O,"&gt;="&amp;GP$1)</f>
        <v>0</v>
      </c>
      <c r="GQ2" s="0" t="n">
        <f aca="false">COUNTIFS('Schedule Engine'!$G:$G,$A2,'Schedule Engine'!$N:$N,"&lt;="&amp;GQ$1,'Schedule Engine'!$O:$O,"&gt;="&amp;GQ$1)</f>
        <v>0</v>
      </c>
      <c r="GR2" s="0" t="n">
        <f aca="false">COUNTIFS('Schedule Engine'!$G:$G,$A2,'Schedule Engine'!$N:$N,"&lt;="&amp;GR$1,'Schedule Engine'!$O:$O,"&gt;="&amp;GR$1)</f>
        <v>0</v>
      </c>
      <c r="GS2" s="0" t="n">
        <f aca="false">COUNTIFS('Schedule Engine'!$G:$G,$A2,'Schedule Engine'!$N:$N,"&lt;="&amp;GS$1,'Schedule Engine'!$O:$O,"&gt;="&amp;GS$1)</f>
        <v>0</v>
      </c>
      <c r="GT2" s="0" t="n">
        <f aca="false">COUNTIFS('Schedule Engine'!$G:$G,$A2,'Schedule Engine'!$N:$N,"&lt;="&amp;GT$1,'Schedule Engine'!$O:$O,"&gt;="&amp;GT$1)</f>
        <v>0</v>
      </c>
      <c r="GU2" s="0" t="n">
        <f aca="false">COUNTIFS('Schedule Engine'!$G:$G,$A2,'Schedule Engine'!$N:$N,"&lt;="&amp;GU$1,'Schedule Engine'!$O:$O,"&gt;="&amp;GU$1)</f>
        <v>0</v>
      </c>
      <c r="GV2" s="0" t="n">
        <f aca="false">COUNTIFS('Schedule Engine'!$G:$G,$A2,'Schedule Engine'!$N:$N,"&lt;="&amp;GV$1,'Schedule Engine'!$O:$O,"&gt;="&amp;GV$1)</f>
        <v>0</v>
      </c>
      <c r="GW2" s="0" t="n">
        <f aca="false">COUNTIFS('Schedule Engine'!$G:$G,$A2,'Schedule Engine'!$N:$N,"&lt;="&amp;GW$1,'Schedule Engine'!$O:$O,"&gt;="&amp;GW$1)</f>
        <v>0</v>
      </c>
      <c r="GX2" s="0" t="n">
        <f aca="false">COUNTIFS('Schedule Engine'!$G:$G,$A2,'Schedule Engine'!$N:$N,"&lt;="&amp;GX$1,'Schedule Engine'!$O:$O,"&gt;="&amp;GX$1)</f>
        <v>0</v>
      </c>
      <c r="GY2" s="0" t="n">
        <f aca="false">COUNTIFS('Schedule Engine'!$G:$G,$A2,'Schedule Engine'!$N:$N,"&lt;="&amp;GY$1,'Schedule Engine'!$O:$O,"&gt;="&amp;GY$1)</f>
        <v>0</v>
      </c>
      <c r="GZ2" s="0" t="n">
        <f aca="false">COUNTIFS('Schedule Engine'!$G:$G,$A2,'Schedule Engine'!$N:$N,"&lt;="&amp;GZ$1,'Schedule Engine'!$O:$O,"&gt;="&amp;GZ$1)</f>
        <v>0</v>
      </c>
      <c r="HA2" s="0" t="n">
        <f aca="false">COUNTIFS('Schedule Engine'!$G:$G,$A2,'Schedule Engine'!$N:$N,"&lt;="&amp;HA$1,'Schedule Engine'!$O:$O,"&gt;="&amp;HA$1)</f>
        <v>0</v>
      </c>
      <c r="HB2" s="0" t="n">
        <f aca="false">COUNTIFS('Schedule Engine'!$G:$G,$A2,'Schedule Engine'!$N:$N,"&lt;="&amp;HB$1,'Schedule Engine'!$O:$O,"&gt;="&amp;HB$1)</f>
        <v>0</v>
      </c>
      <c r="HC2" s="0" t="n">
        <f aca="false">COUNTIFS('Schedule Engine'!$G:$G,$A2,'Schedule Engine'!$N:$N,"&lt;="&amp;HC$1,'Schedule Engine'!$O:$O,"&gt;="&amp;HC$1)</f>
        <v>0</v>
      </c>
      <c r="HD2" s="0" t="n">
        <f aca="false">COUNTIFS('Schedule Engine'!$G:$G,$A2,'Schedule Engine'!$N:$N,"&lt;="&amp;HD$1,'Schedule Engine'!$O:$O,"&gt;="&amp;HD$1)</f>
        <v>0</v>
      </c>
      <c r="HE2" s="0" t="n">
        <f aca="false">COUNTIFS('Schedule Engine'!$G:$G,$A2,'Schedule Engine'!$N:$N,"&lt;="&amp;HE$1,'Schedule Engine'!$O:$O,"&gt;="&amp;HE$1)</f>
        <v>0</v>
      </c>
      <c r="HF2" s="0" t="n">
        <f aca="false">COUNTIFS('Schedule Engine'!$G:$G,$A2,'Schedule Engine'!$N:$N,"&lt;="&amp;HF$1,'Schedule Engine'!$O:$O,"&gt;="&amp;HF$1)</f>
        <v>0</v>
      </c>
      <c r="HG2" s="0" t="n">
        <f aca="false">COUNTIFS('Schedule Engine'!$G:$G,$A2,'Schedule Engine'!$N:$N,"&lt;="&amp;HG$1,'Schedule Engine'!$O:$O,"&gt;="&amp;HG$1)</f>
        <v>0</v>
      </c>
      <c r="HH2" s="0" t="n">
        <f aca="false">COUNTIFS('Schedule Engine'!$G:$G,$A2,'Schedule Engine'!$N:$N,"&lt;="&amp;HH$1,'Schedule Engine'!$O:$O,"&gt;="&amp;HH$1)</f>
        <v>0</v>
      </c>
      <c r="HI2" s="0" t="n">
        <f aca="false">COUNTIFS('Schedule Engine'!$G:$G,$A2,'Schedule Engine'!$N:$N,"&lt;="&amp;HI$1,'Schedule Engine'!$O:$O,"&gt;="&amp;HI$1)</f>
        <v>0</v>
      </c>
      <c r="HJ2" s="0" t="n">
        <f aca="false">COUNTIFS('Schedule Engine'!$G:$G,$A2,'Schedule Engine'!$N:$N,"&lt;="&amp;HJ$1,'Schedule Engine'!$O:$O,"&gt;="&amp;HJ$1)</f>
        <v>0</v>
      </c>
      <c r="HK2" s="0" t="n">
        <f aca="false">COUNTIFS('Schedule Engine'!$G:$G,$A2,'Schedule Engine'!$N:$N,"&lt;="&amp;HK$1,'Schedule Engine'!$O:$O,"&gt;="&amp;HK$1)</f>
        <v>0</v>
      </c>
      <c r="HL2" s="0" t="n">
        <f aca="false">COUNTIFS('Schedule Engine'!$G:$G,$A2,'Schedule Engine'!$N:$N,"&lt;="&amp;HL$1,'Schedule Engine'!$O:$O,"&gt;="&amp;HL$1)</f>
        <v>0</v>
      </c>
      <c r="HM2" s="0" t="n">
        <f aca="false">COUNTIFS('Schedule Engine'!$G:$G,$A2,'Schedule Engine'!$N:$N,"&lt;="&amp;HM$1,'Schedule Engine'!$O:$O,"&gt;="&amp;HM$1)</f>
        <v>0</v>
      </c>
      <c r="HN2" s="0" t="n">
        <f aca="false">COUNTIFS('Schedule Engine'!$G:$G,$A2,'Schedule Engine'!$N:$N,"&lt;="&amp;HN$1,'Schedule Engine'!$O:$O,"&gt;="&amp;HN$1)</f>
        <v>0</v>
      </c>
    </row>
    <row r="3" customFormat="false" ht="16.4" hidden="false" customHeight="false" outlineLevel="0" collapsed="false">
      <c r="A3" s="0" t="s">
        <v>39</v>
      </c>
      <c r="B3" s="0" t="n">
        <v>1</v>
      </c>
      <c r="C3" s="0" t="n">
        <f aca="false">COUNTIFS('Schedule Engine'!$G:$G,$A3,'Schedule Engine'!$N:$N,"&lt;="&amp;C$1,'Schedule Engine'!$O:$O,"&gt;="&amp;C$1)</f>
        <v>0</v>
      </c>
      <c r="D3" s="0" t="n">
        <f aca="false">COUNTIFS('Schedule Engine'!$G:$G,$A3,'Schedule Engine'!$N:$N,"&lt;="&amp;D$1,'Schedule Engine'!$O:$O,"&gt;="&amp;D$1)</f>
        <v>0</v>
      </c>
      <c r="E3" s="0" t="n">
        <f aca="false">COUNTIFS('Schedule Engine'!$G:$G,$A3,'Schedule Engine'!$N:$N,"&lt;="&amp;E$1,'Schedule Engine'!$O:$O,"&gt;="&amp;E$1)</f>
        <v>0</v>
      </c>
      <c r="F3" s="0" t="n">
        <f aca="false">COUNTIFS('Schedule Engine'!$G:$G,$A3,'Schedule Engine'!$N:$N,"&lt;="&amp;F$1,'Schedule Engine'!$O:$O,"&gt;="&amp;F$1)</f>
        <v>0</v>
      </c>
      <c r="G3" s="0" t="n">
        <f aca="false">COUNTIFS('Schedule Engine'!$G:$G,$A3,'Schedule Engine'!$N:$N,"&lt;="&amp;G$1,'Schedule Engine'!$O:$O,"&gt;="&amp;G$1)</f>
        <v>0</v>
      </c>
      <c r="H3" s="0" t="n">
        <f aca="false">COUNTIFS('Schedule Engine'!$G:$G,$A3,'Schedule Engine'!$N:$N,"&lt;="&amp;H$1,'Schedule Engine'!$O:$O,"&gt;="&amp;H$1)</f>
        <v>0</v>
      </c>
      <c r="I3" s="0" t="n">
        <f aca="false">COUNTIFS('Schedule Engine'!$G:$G,$A3,'Schedule Engine'!$N:$N,"&lt;="&amp;I$1,'Schedule Engine'!$O:$O,"&gt;="&amp;I$1)</f>
        <v>0</v>
      </c>
      <c r="J3" s="0" t="n">
        <f aca="false">COUNTIFS('Schedule Engine'!$G:$G,$A3,'Schedule Engine'!$N:$N,"&lt;="&amp;J$1,'Schedule Engine'!$O:$O,"&gt;="&amp;J$1)</f>
        <v>0</v>
      </c>
      <c r="K3" s="0" t="n">
        <f aca="false">COUNTIFS('Schedule Engine'!$G:$G,$A3,'Schedule Engine'!$N:$N,"&lt;="&amp;K$1,'Schedule Engine'!$O:$O,"&gt;="&amp;K$1)</f>
        <v>0</v>
      </c>
      <c r="L3" s="0" t="n">
        <f aca="false">COUNTIFS('Schedule Engine'!$G:$G,$A3,'Schedule Engine'!$N:$N,"&lt;="&amp;L$1,'Schedule Engine'!$O:$O,"&gt;="&amp;L$1)</f>
        <v>0</v>
      </c>
      <c r="M3" s="0" t="n">
        <f aca="false">COUNTIFS('Schedule Engine'!$G:$G,$A3,'Schedule Engine'!$N:$N,"&lt;="&amp;M$1,'Schedule Engine'!$O:$O,"&gt;="&amp;M$1)</f>
        <v>0</v>
      </c>
      <c r="N3" s="0" t="n">
        <f aca="false">COUNTIFS('Schedule Engine'!$G:$G,$A3,'Schedule Engine'!$N:$N,"&lt;="&amp;N$1,'Schedule Engine'!$O:$O,"&gt;="&amp;N$1)</f>
        <v>0</v>
      </c>
      <c r="O3" s="0" t="n">
        <f aca="false">COUNTIFS('Schedule Engine'!$G:$G,$A3,'Schedule Engine'!$N:$N,"&lt;="&amp;O$1,'Schedule Engine'!$O:$O,"&gt;="&amp;O$1)</f>
        <v>0</v>
      </c>
      <c r="P3" s="0" t="n">
        <f aca="false">COUNTIFS('Schedule Engine'!$G:$G,$A3,'Schedule Engine'!$N:$N,"&lt;="&amp;P$1,'Schedule Engine'!$O:$O,"&gt;="&amp;P$1)</f>
        <v>0</v>
      </c>
      <c r="Q3" s="0" t="n">
        <f aca="false">COUNTIFS('Schedule Engine'!$G:$G,$A3,'Schedule Engine'!$N:$N,"&lt;="&amp;Q$1,'Schedule Engine'!$O:$O,"&gt;="&amp;Q$1)</f>
        <v>0</v>
      </c>
      <c r="R3" s="0" t="n">
        <f aca="false">COUNTIFS('Schedule Engine'!$G:$G,$A3,'Schedule Engine'!$N:$N,"&lt;="&amp;R$1,'Schedule Engine'!$O:$O,"&gt;="&amp;R$1)</f>
        <v>0</v>
      </c>
      <c r="S3" s="0" t="n">
        <f aca="false">COUNTIFS('Schedule Engine'!$G:$G,$A3,'Schedule Engine'!$N:$N,"&lt;="&amp;S$1,'Schedule Engine'!$O:$O,"&gt;="&amp;S$1)</f>
        <v>0</v>
      </c>
      <c r="T3" s="0" t="n">
        <f aca="false">COUNTIFS('Schedule Engine'!$G:$G,$A3,'Schedule Engine'!$N:$N,"&lt;="&amp;T$1,'Schedule Engine'!$O:$O,"&gt;="&amp;T$1)</f>
        <v>0</v>
      </c>
      <c r="U3" s="0" t="n">
        <f aca="false">COUNTIFS('Schedule Engine'!$G:$G,$A3,'Schedule Engine'!$N:$N,"&lt;="&amp;U$1,'Schedule Engine'!$O:$O,"&gt;="&amp;U$1)</f>
        <v>0</v>
      </c>
      <c r="V3" s="0" t="n">
        <f aca="false">COUNTIFS('Schedule Engine'!$G:$G,$A3,'Schedule Engine'!$N:$N,"&lt;="&amp;V$1,'Schedule Engine'!$O:$O,"&gt;="&amp;V$1)</f>
        <v>0</v>
      </c>
      <c r="W3" s="0" t="n">
        <f aca="false">COUNTIFS('Schedule Engine'!$G:$G,$A3,'Schedule Engine'!$N:$N,"&lt;="&amp;W$1,'Schedule Engine'!$O:$O,"&gt;="&amp;W$1)</f>
        <v>0</v>
      </c>
      <c r="X3" s="0" t="n">
        <f aca="false">COUNTIFS('Schedule Engine'!$G:$G,$A3,'Schedule Engine'!$N:$N,"&lt;="&amp;X$1,'Schedule Engine'!$O:$O,"&gt;="&amp;X$1)</f>
        <v>0</v>
      </c>
      <c r="Y3" s="0" t="n">
        <f aca="false">COUNTIFS('Schedule Engine'!$G:$G,$A3,'Schedule Engine'!$N:$N,"&lt;="&amp;Y$1,'Schedule Engine'!$O:$O,"&gt;="&amp;Y$1)</f>
        <v>0</v>
      </c>
      <c r="Z3" s="0" t="n">
        <f aca="false">COUNTIFS('Schedule Engine'!$G:$G,$A3,'Schedule Engine'!$N:$N,"&lt;="&amp;Z$1,'Schedule Engine'!$O:$O,"&gt;="&amp;Z$1)</f>
        <v>0</v>
      </c>
      <c r="AA3" s="0" t="n">
        <f aca="false">COUNTIFS('Schedule Engine'!$G:$G,$A3,'Schedule Engine'!$N:$N,"&lt;="&amp;AA$1,'Schedule Engine'!$O:$O,"&gt;="&amp;AA$1)</f>
        <v>0</v>
      </c>
      <c r="AB3" s="0" t="n">
        <f aca="false">COUNTIFS('Schedule Engine'!$G:$G,$A3,'Schedule Engine'!$N:$N,"&lt;="&amp;AB$1,'Schedule Engine'!$O:$O,"&gt;="&amp;AB$1)</f>
        <v>0</v>
      </c>
      <c r="AC3" s="0" t="n">
        <f aca="false">COUNTIFS('Schedule Engine'!$G:$G,$A3,'Schedule Engine'!$N:$N,"&lt;="&amp;AC$1,'Schedule Engine'!$O:$O,"&gt;="&amp;AC$1)</f>
        <v>0</v>
      </c>
      <c r="AD3" s="0" t="n">
        <f aca="false">COUNTIFS('Schedule Engine'!$G:$G,$A3,'Schedule Engine'!$N:$N,"&lt;="&amp;AD$1,'Schedule Engine'!$O:$O,"&gt;="&amp;AD$1)</f>
        <v>0</v>
      </c>
      <c r="AE3" s="0" t="n">
        <f aca="false">COUNTIFS('Schedule Engine'!$G:$G,$A3,'Schedule Engine'!$N:$N,"&lt;="&amp;AE$1,'Schedule Engine'!$O:$O,"&gt;="&amp;AE$1)</f>
        <v>0</v>
      </c>
      <c r="AF3" s="0" t="n">
        <f aca="false">COUNTIFS('Schedule Engine'!$G:$G,$A3,'Schedule Engine'!$N:$N,"&lt;="&amp;AF$1,'Schedule Engine'!$O:$O,"&gt;="&amp;AF$1)</f>
        <v>0</v>
      </c>
      <c r="AG3" s="0" t="n">
        <f aca="false">COUNTIFS('Schedule Engine'!$G:$G,$A3,'Schedule Engine'!$N:$N,"&lt;="&amp;AG$1,'Schedule Engine'!$O:$O,"&gt;="&amp;AG$1)</f>
        <v>0</v>
      </c>
      <c r="AH3" s="0" t="n">
        <f aca="false">COUNTIFS('Schedule Engine'!$G:$G,$A3,'Schedule Engine'!$N:$N,"&lt;="&amp;AH$1,'Schedule Engine'!$O:$O,"&gt;="&amp;AH$1)</f>
        <v>0</v>
      </c>
      <c r="AI3" s="0" t="n">
        <f aca="false">COUNTIFS('Schedule Engine'!$G:$G,$A3,'Schedule Engine'!$N:$N,"&lt;="&amp;AI$1,'Schedule Engine'!$O:$O,"&gt;="&amp;AI$1)</f>
        <v>0</v>
      </c>
      <c r="AJ3" s="0" t="n">
        <f aca="false">COUNTIFS('Schedule Engine'!$G:$G,$A3,'Schedule Engine'!$N:$N,"&lt;="&amp;AJ$1,'Schedule Engine'!$O:$O,"&gt;="&amp;AJ$1)</f>
        <v>0</v>
      </c>
      <c r="AK3" s="0" t="n">
        <f aca="false">COUNTIFS('Schedule Engine'!$G:$G,$A3,'Schedule Engine'!$N:$N,"&lt;="&amp;AK$1,'Schedule Engine'!$O:$O,"&gt;="&amp;AK$1)</f>
        <v>0</v>
      </c>
      <c r="AL3" s="0" t="n">
        <f aca="false">COUNTIFS('Schedule Engine'!$G:$G,$A3,'Schedule Engine'!$N:$N,"&lt;="&amp;AL$1,'Schedule Engine'!$O:$O,"&gt;="&amp;AL$1)</f>
        <v>0</v>
      </c>
      <c r="AM3" s="0" t="n">
        <f aca="false">COUNTIFS('Schedule Engine'!$G:$G,$A3,'Schedule Engine'!$N:$N,"&lt;="&amp;AM$1,'Schedule Engine'!$O:$O,"&gt;="&amp;AM$1)</f>
        <v>0</v>
      </c>
      <c r="AN3" s="0" t="n">
        <f aca="false">COUNTIFS('Schedule Engine'!$G:$G,$A3,'Schedule Engine'!$N:$N,"&lt;="&amp;AN$1,'Schedule Engine'!$O:$O,"&gt;="&amp;AN$1)</f>
        <v>0</v>
      </c>
      <c r="AO3" s="0" t="n">
        <f aca="false">COUNTIFS('Schedule Engine'!$G:$G,$A3,'Schedule Engine'!$N:$N,"&lt;="&amp;AO$1,'Schedule Engine'!$O:$O,"&gt;="&amp;AO$1)</f>
        <v>0</v>
      </c>
      <c r="AP3" s="0" t="n">
        <f aca="false">COUNTIFS('Schedule Engine'!$G:$G,$A3,'Schedule Engine'!$N:$N,"&lt;="&amp;AP$1,'Schedule Engine'!$O:$O,"&gt;="&amp;AP$1)</f>
        <v>0</v>
      </c>
      <c r="AQ3" s="0" t="n">
        <f aca="false">COUNTIFS('Schedule Engine'!$G:$G,$A3,'Schedule Engine'!$N:$N,"&lt;="&amp;AQ$1,'Schedule Engine'!$O:$O,"&gt;="&amp;AQ$1)</f>
        <v>0</v>
      </c>
      <c r="AR3" s="0" t="n">
        <f aca="false">COUNTIFS('Schedule Engine'!$G:$G,$A3,'Schedule Engine'!$N:$N,"&lt;="&amp;AR$1,'Schedule Engine'!$O:$O,"&gt;="&amp;AR$1)</f>
        <v>0</v>
      </c>
      <c r="AS3" s="0" t="n">
        <f aca="false">COUNTIFS('Schedule Engine'!$G:$G,$A3,'Schedule Engine'!$N:$N,"&lt;="&amp;AS$1,'Schedule Engine'!$O:$O,"&gt;="&amp;AS$1)</f>
        <v>0</v>
      </c>
      <c r="AT3" s="0" t="n">
        <f aca="false">COUNTIFS('Schedule Engine'!$G:$G,$A3,'Schedule Engine'!$N:$N,"&lt;="&amp;AT$1,'Schedule Engine'!$O:$O,"&gt;="&amp;AT$1)</f>
        <v>0</v>
      </c>
      <c r="AU3" s="0" t="n">
        <f aca="false">COUNTIFS('Schedule Engine'!$G:$G,$A3,'Schedule Engine'!$N:$N,"&lt;="&amp;AU$1,'Schedule Engine'!$O:$O,"&gt;="&amp;AU$1)</f>
        <v>0</v>
      </c>
      <c r="AV3" s="0" t="n">
        <f aca="false">COUNTIFS('Schedule Engine'!$G:$G,$A3,'Schedule Engine'!$N:$N,"&lt;="&amp;AV$1,'Schedule Engine'!$O:$O,"&gt;="&amp;AV$1)</f>
        <v>0</v>
      </c>
      <c r="AW3" s="0" t="n">
        <f aca="false">COUNTIFS('Schedule Engine'!$G:$G,$A3,'Schedule Engine'!$N:$N,"&lt;="&amp;AW$1,'Schedule Engine'!$O:$O,"&gt;="&amp;AW$1)</f>
        <v>0</v>
      </c>
      <c r="AX3" s="0" t="n">
        <f aca="false">COUNTIFS('Schedule Engine'!$G:$G,$A3,'Schedule Engine'!$N:$N,"&lt;="&amp;AX$1,'Schedule Engine'!$O:$O,"&gt;="&amp;AX$1)</f>
        <v>1</v>
      </c>
      <c r="AY3" s="0" t="n">
        <f aca="false">COUNTIFS('Schedule Engine'!$G:$G,$A3,'Schedule Engine'!$N:$N,"&lt;="&amp;AY$1,'Schedule Engine'!$O:$O,"&gt;="&amp;AY$1)</f>
        <v>1</v>
      </c>
      <c r="AZ3" s="0" t="n">
        <f aca="false">COUNTIFS('Schedule Engine'!$G:$G,$A3,'Schedule Engine'!$N:$N,"&lt;="&amp;AZ$1,'Schedule Engine'!$O:$O,"&gt;="&amp;AZ$1)</f>
        <v>1</v>
      </c>
      <c r="BA3" s="0" t="n">
        <f aca="false">COUNTIFS('Schedule Engine'!$G:$G,$A3,'Schedule Engine'!$N:$N,"&lt;="&amp;BA$1,'Schedule Engine'!$O:$O,"&gt;="&amp;BA$1)</f>
        <v>1</v>
      </c>
      <c r="BB3" s="0" t="n">
        <f aca="false">COUNTIFS('Schedule Engine'!$G:$G,$A3,'Schedule Engine'!$N:$N,"&lt;="&amp;BB$1,'Schedule Engine'!$O:$O,"&gt;="&amp;BB$1)</f>
        <v>1</v>
      </c>
      <c r="BC3" s="0" t="n">
        <f aca="false">COUNTIFS('Schedule Engine'!$G:$G,$A3,'Schedule Engine'!$N:$N,"&lt;="&amp;BC$1,'Schedule Engine'!$O:$O,"&gt;="&amp;BC$1)</f>
        <v>0</v>
      </c>
      <c r="BD3" s="0" t="n">
        <f aca="false">COUNTIFS('Schedule Engine'!$G:$G,$A3,'Schedule Engine'!$N:$N,"&lt;="&amp;BD$1,'Schedule Engine'!$O:$O,"&gt;="&amp;BD$1)</f>
        <v>0</v>
      </c>
      <c r="BE3" s="0" t="n">
        <f aca="false">COUNTIFS('Schedule Engine'!$G:$G,$A3,'Schedule Engine'!$N:$N,"&lt;="&amp;BE$1,'Schedule Engine'!$O:$O,"&gt;="&amp;BE$1)</f>
        <v>0</v>
      </c>
      <c r="BF3" s="0" t="n">
        <f aca="false">COUNTIFS('Schedule Engine'!$G:$G,$A3,'Schedule Engine'!$N:$N,"&lt;="&amp;BF$1,'Schedule Engine'!$O:$O,"&gt;="&amp;BF$1)</f>
        <v>0</v>
      </c>
      <c r="BG3" s="0" t="n">
        <f aca="false">COUNTIFS('Schedule Engine'!$G:$G,$A3,'Schedule Engine'!$N:$N,"&lt;="&amp;BG$1,'Schedule Engine'!$O:$O,"&gt;="&amp;BG$1)</f>
        <v>0</v>
      </c>
      <c r="BH3" s="0" t="n">
        <f aca="false">COUNTIFS('Schedule Engine'!$G:$G,$A3,'Schedule Engine'!$N:$N,"&lt;="&amp;BH$1,'Schedule Engine'!$O:$O,"&gt;="&amp;BH$1)</f>
        <v>0</v>
      </c>
      <c r="BI3" s="0" t="n">
        <f aca="false">COUNTIFS('Schedule Engine'!$G:$G,$A3,'Schedule Engine'!$N:$N,"&lt;="&amp;BI$1,'Schedule Engine'!$O:$O,"&gt;="&amp;BI$1)</f>
        <v>0</v>
      </c>
      <c r="BJ3" s="0" t="n">
        <f aca="false">COUNTIFS('Schedule Engine'!$G:$G,$A3,'Schedule Engine'!$N:$N,"&lt;="&amp;BJ$1,'Schedule Engine'!$O:$O,"&gt;="&amp;BJ$1)</f>
        <v>0</v>
      </c>
      <c r="BK3" s="0" t="n">
        <f aca="false">COUNTIFS('Schedule Engine'!$G:$G,$A3,'Schedule Engine'!$N:$N,"&lt;="&amp;BK$1,'Schedule Engine'!$O:$O,"&gt;="&amp;BK$1)</f>
        <v>0</v>
      </c>
      <c r="BL3" s="0" t="n">
        <f aca="false">COUNTIFS('Schedule Engine'!$G:$G,$A3,'Schedule Engine'!$N:$N,"&lt;="&amp;BL$1,'Schedule Engine'!$O:$O,"&gt;="&amp;BL$1)</f>
        <v>0</v>
      </c>
      <c r="BM3" s="0" t="n">
        <f aca="false">COUNTIFS('Schedule Engine'!$G:$G,$A3,'Schedule Engine'!$N:$N,"&lt;="&amp;BM$1,'Schedule Engine'!$O:$O,"&gt;="&amp;BM$1)</f>
        <v>0</v>
      </c>
      <c r="BN3" s="0" t="n">
        <f aca="false">COUNTIFS('Schedule Engine'!$G:$G,$A3,'Schedule Engine'!$N:$N,"&lt;="&amp;BN$1,'Schedule Engine'!$O:$O,"&gt;="&amp;BN$1)</f>
        <v>0</v>
      </c>
      <c r="BO3" s="0" t="n">
        <f aca="false">COUNTIFS('Schedule Engine'!$G:$G,$A3,'Schedule Engine'!$N:$N,"&lt;="&amp;BO$1,'Schedule Engine'!$O:$O,"&gt;="&amp;BO$1)</f>
        <v>0</v>
      </c>
      <c r="BP3" s="0" t="n">
        <f aca="false">COUNTIFS('Schedule Engine'!$G:$G,$A3,'Schedule Engine'!$N:$N,"&lt;="&amp;BP$1,'Schedule Engine'!$O:$O,"&gt;="&amp;BP$1)</f>
        <v>0</v>
      </c>
      <c r="BQ3" s="0" t="n">
        <f aca="false">COUNTIFS('Schedule Engine'!$G:$G,$A3,'Schedule Engine'!$N:$N,"&lt;="&amp;BQ$1,'Schedule Engine'!$O:$O,"&gt;="&amp;BQ$1)</f>
        <v>0</v>
      </c>
      <c r="BR3" s="0" t="n">
        <f aca="false">COUNTIFS('Schedule Engine'!$G:$G,$A3,'Schedule Engine'!$N:$N,"&lt;="&amp;BR$1,'Schedule Engine'!$O:$O,"&gt;="&amp;BR$1)</f>
        <v>0</v>
      </c>
      <c r="BS3" s="0" t="n">
        <f aca="false">COUNTIFS('Schedule Engine'!$G:$G,$A3,'Schedule Engine'!$N:$N,"&lt;="&amp;BS$1,'Schedule Engine'!$O:$O,"&gt;="&amp;BS$1)</f>
        <v>1</v>
      </c>
      <c r="BT3" s="0" t="n">
        <f aca="false">COUNTIFS('Schedule Engine'!$G:$G,$A3,'Schedule Engine'!$N:$N,"&lt;="&amp;BT$1,'Schedule Engine'!$O:$O,"&gt;="&amp;BT$1)</f>
        <v>1</v>
      </c>
      <c r="BU3" s="0" t="n">
        <f aca="false">COUNTIFS('Schedule Engine'!$G:$G,$A3,'Schedule Engine'!$N:$N,"&lt;="&amp;BU$1,'Schedule Engine'!$O:$O,"&gt;="&amp;BU$1)</f>
        <v>1</v>
      </c>
      <c r="BV3" s="0" t="n">
        <f aca="false">COUNTIFS('Schedule Engine'!$G:$G,$A3,'Schedule Engine'!$N:$N,"&lt;="&amp;BV$1,'Schedule Engine'!$O:$O,"&gt;="&amp;BV$1)</f>
        <v>1</v>
      </c>
      <c r="BW3" s="0" t="n">
        <f aca="false">COUNTIFS('Schedule Engine'!$G:$G,$A3,'Schedule Engine'!$N:$N,"&lt;="&amp;BW$1,'Schedule Engine'!$O:$O,"&gt;="&amp;BW$1)</f>
        <v>1</v>
      </c>
      <c r="BX3" s="0" t="n">
        <f aca="false">COUNTIFS('Schedule Engine'!$G:$G,$A3,'Schedule Engine'!$N:$N,"&lt;="&amp;BX$1,'Schedule Engine'!$O:$O,"&gt;="&amp;BX$1)</f>
        <v>0</v>
      </c>
      <c r="BY3" s="0" t="n">
        <f aca="false">COUNTIFS('Schedule Engine'!$G:$G,$A3,'Schedule Engine'!$N:$N,"&lt;="&amp;BY$1,'Schedule Engine'!$O:$O,"&gt;="&amp;BY$1)</f>
        <v>0</v>
      </c>
      <c r="BZ3" s="0" t="n">
        <f aca="false">COUNTIFS('Schedule Engine'!$G:$G,$A3,'Schedule Engine'!$N:$N,"&lt;="&amp;BZ$1,'Schedule Engine'!$O:$O,"&gt;="&amp;BZ$1)</f>
        <v>0</v>
      </c>
      <c r="CA3" s="0" t="n">
        <f aca="false">COUNTIFS('Schedule Engine'!$G:$G,$A3,'Schedule Engine'!$N:$N,"&lt;="&amp;CA$1,'Schedule Engine'!$O:$O,"&gt;="&amp;CA$1)</f>
        <v>0</v>
      </c>
      <c r="CB3" s="0" t="n">
        <f aca="false">COUNTIFS('Schedule Engine'!$G:$G,$A3,'Schedule Engine'!$N:$N,"&lt;="&amp;CB$1,'Schedule Engine'!$O:$O,"&gt;="&amp;CB$1)</f>
        <v>0</v>
      </c>
      <c r="CC3" s="0" t="n">
        <f aca="false">COUNTIFS('Schedule Engine'!$G:$G,$A3,'Schedule Engine'!$N:$N,"&lt;="&amp;CC$1,'Schedule Engine'!$O:$O,"&gt;="&amp;CC$1)</f>
        <v>0</v>
      </c>
      <c r="CD3" s="0" t="n">
        <f aca="false">COUNTIFS('Schedule Engine'!$G:$G,$A3,'Schedule Engine'!$N:$N,"&lt;="&amp;CD$1,'Schedule Engine'!$O:$O,"&gt;="&amp;CD$1)</f>
        <v>0</v>
      </c>
      <c r="CE3" s="0" t="n">
        <f aca="false">COUNTIFS('Schedule Engine'!$G:$G,$A3,'Schedule Engine'!$N:$N,"&lt;="&amp;CE$1,'Schedule Engine'!$O:$O,"&gt;="&amp;CE$1)</f>
        <v>0</v>
      </c>
      <c r="CF3" s="0" t="n">
        <f aca="false">COUNTIFS('Schedule Engine'!$G:$G,$A3,'Schedule Engine'!$N:$N,"&lt;="&amp;CF$1,'Schedule Engine'!$O:$O,"&gt;="&amp;CF$1)</f>
        <v>0</v>
      </c>
      <c r="CG3" s="0" t="n">
        <f aca="false">COUNTIFS('Schedule Engine'!$G:$G,$A3,'Schedule Engine'!$N:$N,"&lt;="&amp;CG$1,'Schedule Engine'!$O:$O,"&gt;="&amp;CG$1)</f>
        <v>0</v>
      </c>
      <c r="CH3" s="0" t="n">
        <f aca="false">COUNTIFS('Schedule Engine'!$G:$G,$A3,'Schedule Engine'!$N:$N,"&lt;="&amp;CH$1,'Schedule Engine'!$O:$O,"&gt;="&amp;CH$1)</f>
        <v>0</v>
      </c>
      <c r="CI3" s="0" t="n">
        <f aca="false">COUNTIFS('Schedule Engine'!$G:$G,$A3,'Schedule Engine'!$N:$N,"&lt;="&amp;CI$1,'Schedule Engine'!$O:$O,"&gt;="&amp;CI$1)</f>
        <v>0</v>
      </c>
      <c r="CJ3" s="0" t="n">
        <f aca="false">COUNTIFS('Schedule Engine'!$G:$G,$A3,'Schedule Engine'!$N:$N,"&lt;="&amp;CJ$1,'Schedule Engine'!$O:$O,"&gt;="&amp;CJ$1)</f>
        <v>0</v>
      </c>
      <c r="CK3" s="0" t="n">
        <f aca="false">COUNTIFS('Schedule Engine'!$G:$G,$A3,'Schedule Engine'!$N:$N,"&lt;="&amp;CK$1,'Schedule Engine'!$O:$O,"&gt;="&amp;CK$1)</f>
        <v>0</v>
      </c>
      <c r="CL3" s="0" t="n">
        <f aca="false">COUNTIFS('Schedule Engine'!$G:$G,$A3,'Schedule Engine'!$N:$N,"&lt;="&amp;CL$1,'Schedule Engine'!$O:$O,"&gt;="&amp;CL$1)</f>
        <v>0</v>
      </c>
      <c r="CM3" s="0" t="n">
        <f aca="false">COUNTIFS('Schedule Engine'!$G:$G,$A3,'Schedule Engine'!$N:$N,"&lt;="&amp;CM$1,'Schedule Engine'!$O:$O,"&gt;="&amp;CM$1)</f>
        <v>0</v>
      </c>
      <c r="CN3" s="0" t="n">
        <f aca="false">COUNTIFS('Schedule Engine'!$G:$G,$A3,'Schedule Engine'!$N:$N,"&lt;="&amp;CN$1,'Schedule Engine'!$O:$O,"&gt;="&amp;CN$1)</f>
        <v>1</v>
      </c>
      <c r="CO3" s="0" t="n">
        <f aca="false">COUNTIFS('Schedule Engine'!$G:$G,$A3,'Schedule Engine'!$N:$N,"&lt;="&amp;CO$1,'Schedule Engine'!$O:$O,"&gt;="&amp;CO$1)</f>
        <v>1</v>
      </c>
      <c r="CP3" s="0" t="n">
        <f aca="false">COUNTIFS('Schedule Engine'!$G:$G,$A3,'Schedule Engine'!$N:$N,"&lt;="&amp;CP$1,'Schedule Engine'!$O:$O,"&gt;="&amp;CP$1)</f>
        <v>1</v>
      </c>
      <c r="CQ3" s="0" t="n">
        <f aca="false">COUNTIFS('Schedule Engine'!$G:$G,$A3,'Schedule Engine'!$N:$N,"&lt;="&amp;CQ$1,'Schedule Engine'!$O:$O,"&gt;="&amp;CQ$1)</f>
        <v>1</v>
      </c>
      <c r="CR3" s="0" t="n">
        <f aca="false">COUNTIFS('Schedule Engine'!$G:$G,$A3,'Schedule Engine'!$N:$N,"&lt;="&amp;CR$1,'Schedule Engine'!$O:$O,"&gt;="&amp;CR$1)</f>
        <v>1</v>
      </c>
      <c r="CS3" s="0" t="n">
        <f aca="false">COUNTIFS('Schedule Engine'!$G:$G,$A3,'Schedule Engine'!$N:$N,"&lt;="&amp;CS$1,'Schedule Engine'!$O:$O,"&gt;="&amp;CS$1)</f>
        <v>0</v>
      </c>
      <c r="CT3" s="0" t="n">
        <f aca="false">COUNTIFS('Schedule Engine'!$G:$G,$A3,'Schedule Engine'!$N:$N,"&lt;="&amp;CT$1,'Schedule Engine'!$O:$O,"&gt;="&amp;CT$1)</f>
        <v>0</v>
      </c>
      <c r="CU3" s="0" t="n">
        <f aca="false">COUNTIFS('Schedule Engine'!$G:$G,$A3,'Schedule Engine'!$N:$N,"&lt;="&amp;CU$1,'Schedule Engine'!$O:$O,"&gt;="&amp;CU$1)</f>
        <v>0</v>
      </c>
      <c r="CV3" s="0" t="n">
        <f aca="false">COUNTIFS('Schedule Engine'!$G:$G,$A3,'Schedule Engine'!$N:$N,"&lt;="&amp;CV$1,'Schedule Engine'!$O:$O,"&gt;="&amp;CV$1)</f>
        <v>0</v>
      </c>
      <c r="CW3" s="0" t="n">
        <f aca="false">COUNTIFS('Schedule Engine'!$G:$G,$A3,'Schedule Engine'!$N:$N,"&lt;="&amp;CW$1,'Schedule Engine'!$O:$O,"&gt;="&amp;CW$1)</f>
        <v>0</v>
      </c>
      <c r="CX3" s="0" t="n">
        <f aca="false">COUNTIFS('Schedule Engine'!$G:$G,$A3,'Schedule Engine'!$N:$N,"&lt;="&amp;CX$1,'Schedule Engine'!$O:$O,"&gt;="&amp;CX$1)</f>
        <v>0</v>
      </c>
      <c r="CY3" s="0" t="n">
        <f aca="false">COUNTIFS('Schedule Engine'!$G:$G,$A3,'Schedule Engine'!$N:$N,"&lt;="&amp;CY$1,'Schedule Engine'!$O:$O,"&gt;="&amp;CY$1)</f>
        <v>1</v>
      </c>
      <c r="CZ3" s="0" t="n">
        <f aca="false">COUNTIFS('Schedule Engine'!$G:$G,$A3,'Schedule Engine'!$N:$N,"&lt;="&amp;CZ$1,'Schedule Engine'!$O:$O,"&gt;="&amp;CZ$1)</f>
        <v>1</v>
      </c>
      <c r="DA3" s="0" t="n">
        <f aca="false">COUNTIFS('Schedule Engine'!$G:$G,$A3,'Schedule Engine'!$N:$N,"&lt;="&amp;DA$1,'Schedule Engine'!$O:$O,"&gt;="&amp;DA$1)</f>
        <v>1</v>
      </c>
      <c r="DB3" s="0" t="n">
        <f aca="false">COUNTIFS('Schedule Engine'!$G:$G,$A3,'Schedule Engine'!$N:$N,"&lt;="&amp;DB$1,'Schedule Engine'!$O:$O,"&gt;="&amp;DB$1)</f>
        <v>1</v>
      </c>
      <c r="DC3" s="0" t="n">
        <f aca="false">COUNTIFS('Schedule Engine'!$G:$G,$A3,'Schedule Engine'!$N:$N,"&lt;="&amp;DC$1,'Schedule Engine'!$O:$O,"&gt;="&amp;DC$1)</f>
        <v>1</v>
      </c>
      <c r="DD3" s="0" t="n">
        <f aca="false">COUNTIFS('Schedule Engine'!$G:$G,$A3,'Schedule Engine'!$N:$N,"&lt;="&amp;DD$1,'Schedule Engine'!$O:$O,"&gt;="&amp;DD$1)</f>
        <v>1</v>
      </c>
      <c r="DE3" s="0" t="n">
        <f aca="false">COUNTIFS('Schedule Engine'!$G:$G,$A3,'Schedule Engine'!$N:$N,"&lt;="&amp;DE$1,'Schedule Engine'!$O:$O,"&gt;="&amp;DE$1)</f>
        <v>1</v>
      </c>
      <c r="DF3" s="0" t="n">
        <f aca="false">COUNTIFS('Schedule Engine'!$G:$G,$A3,'Schedule Engine'!$N:$N,"&lt;="&amp;DF$1,'Schedule Engine'!$O:$O,"&gt;="&amp;DF$1)</f>
        <v>0</v>
      </c>
      <c r="DG3" s="0" t="n">
        <f aca="false">COUNTIFS('Schedule Engine'!$G:$G,$A3,'Schedule Engine'!$N:$N,"&lt;="&amp;DG$1,'Schedule Engine'!$O:$O,"&gt;="&amp;DG$1)</f>
        <v>0</v>
      </c>
      <c r="DH3" s="0" t="n">
        <f aca="false">COUNTIFS('Schedule Engine'!$G:$G,$A3,'Schedule Engine'!$N:$N,"&lt;="&amp;DH$1,'Schedule Engine'!$O:$O,"&gt;="&amp;DH$1)</f>
        <v>0</v>
      </c>
      <c r="DI3" s="0" t="n">
        <f aca="false">COUNTIFS('Schedule Engine'!$G:$G,$A3,'Schedule Engine'!$N:$N,"&lt;="&amp;DI$1,'Schedule Engine'!$O:$O,"&gt;="&amp;DI$1)</f>
        <v>1</v>
      </c>
      <c r="DJ3" s="0" t="n">
        <f aca="false">COUNTIFS('Schedule Engine'!$G:$G,$A3,'Schedule Engine'!$N:$N,"&lt;="&amp;DJ$1,'Schedule Engine'!$O:$O,"&gt;="&amp;DJ$1)</f>
        <v>1</v>
      </c>
      <c r="DK3" s="0" t="n">
        <f aca="false">COUNTIFS('Schedule Engine'!$G:$G,$A3,'Schedule Engine'!$N:$N,"&lt;="&amp;DK$1,'Schedule Engine'!$O:$O,"&gt;="&amp;DK$1)</f>
        <v>1</v>
      </c>
      <c r="DL3" s="0" t="n">
        <f aca="false">COUNTIFS('Schedule Engine'!$G:$G,$A3,'Schedule Engine'!$N:$N,"&lt;="&amp;DL$1,'Schedule Engine'!$O:$O,"&gt;="&amp;DL$1)</f>
        <v>1</v>
      </c>
      <c r="DM3" s="0" t="n">
        <f aca="false">COUNTIFS('Schedule Engine'!$G:$G,$A3,'Schedule Engine'!$N:$N,"&lt;="&amp;DM$1,'Schedule Engine'!$O:$O,"&gt;="&amp;DM$1)</f>
        <v>1</v>
      </c>
      <c r="DN3" s="0" t="n">
        <f aca="false">COUNTIFS('Schedule Engine'!$G:$G,$A3,'Schedule Engine'!$N:$N,"&lt;="&amp;DN$1,'Schedule Engine'!$O:$O,"&gt;="&amp;DN$1)</f>
        <v>0</v>
      </c>
      <c r="DO3" s="0" t="n">
        <f aca="false">COUNTIFS('Schedule Engine'!$G:$G,$A3,'Schedule Engine'!$N:$N,"&lt;="&amp;DO$1,'Schedule Engine'!$O:$O,"&gt;="&amp;DO$1)</f>
        <v>0</v>
      </c>
      <c r="DP3" s="0" t="n">
        <f aca="false">COUNTIFS('Schedule Engine'!$G:$G,$A3,'Schedule Engine'!$N:$N,"&lt;="&amp;DP$1,'Schedule Engine'!$O:$O,"&gt;="&amp;DP$1)</f>
        <v>0</v>
      </c>
      <c r="DQ3" s="0" t="n">
        <f aca="false">COUNTIFS('Schedule Engine'!$G:$G,$A3,'Schedule Engine'!$N:$N,"&lt;="&amp;DQ$1,'Schedule Engine'!$O:$O,"&gt;="&amp;DQ$1)</f>
        <v>0</v>
      </c>
      <c r="DR3" s="0" t="n">
        <f aca="false">COUNTIFS('Schedule Engine'!$G:$G,$A3,'Schedule Engine'!$N:$N,"&lt;="&amp;DR$1,'Schedule Engine'!$O:$O,"&gt;="&amp;DR$1)</f>
        <v>0</v>
      </c>
      <c r="DS3" s="0" t="n">
        <f aca="false">COUNTIFS('Schedule Engine'!$G:$G,$A3,'Schedule Engine'!$N:$N,"&lt;="&amp;DS$1,'Schedule Engine'!$O:$O,"&gt;="&amp;DS$1)</f>
        <v>0</v>
      </c>
      <c r="DT3" s="0" t="n">
        <f aca="false">COUNTIFS('Schedule Engine'!$G:$G,$A3,'Schedule Engine'!$N:$N,"&lt;="&amp;DT$1,'Schedule Engine'!$O:$O,"&gt;="&amp;DT$1)</f>
        <v>1</v>
      </c>
      <c r="DU3" s="0" t="n">
        <f aca="false">COUNTIFS('Schedule Engine'!$G:$G,$A3,'Schedule Engine'!$N:$N,"&lt;="&amp;DU$1,'Schedule Engine'!$O:$O,"&gt;="&amp;DU$1)</f>
        <v>1</v>
      </c>
      <c r="DV3" s="0" t="n">
        <f aca="false">COUNTIFS('Schedule Engine'!$G:$G,$A3,'Schedule Engine'!$N:$N,"&lt;="&amp;DV$1,'Schedule Engine'!$O:$O,"&gt;="&amp;DV$1)</f>
        <v>1</v>
      </c>
      <c r="DW3" s="0" t="n">
        <f aca="false">COUNTIFS('Schedule Engine'!$G:$G,$A3,'Schedule Engine'!$N:$N,"&lt;="&amp;DW$1,'Schedule Engine'!$O:$O,"&gt;="&amp;DW$1)</f>
        <v>1</v>
      </c>
      <c r="DX3" s="0" t="n">
        <f aca="false">COUNTIFS('Schedule Engine'!$G:$G,$A3,'Schedule Engine'!$N:$N,"&lt;="&amp;DX$1,'Schedule Engine'!$O:$O,"&gt;="&amp;DX$1)</f>
        <v>1</v>
      </c>
      <c r="DY3" s="0" t="n">
        <f aca="false">COUNTIFS('Schedule Engine'!$G:$G,$A3,'Schedule Engine'!$N:$N,"&lt;="&amp;DY$1,'Schedule Engine'!$O:$O,"&gt;="&amp;DY$1)</f>
        <v>1</v>
      </c>
      <c r="DZ3" s="0" t="n">
        <f aca="false">COUNTIFS('Schedule Engine'!$G:$G,$A3,'Schedule Engine'!$N:$N,"&lt;="&amp;DZ$1,'Schedule Engine'!$O:$O,"&gt;="&amp;DZ$1)</f>
        <v>1</v>
      </c>
      <c r="EA3" s="0" t="n">
        <f aca="false">COUNTIFS('Schedule Engine'!$G:$G,$A3,'Schedule Engine'!$N:$N,"&lt;="&amp;EA$1,'Schedule Engine'!$O:$O,"&gt;="&amp;EA$1)</f>
        <v>0</v>
      </c>
      <c r="EB3" s="0" t="n">
        <f aca="false">COUNTIFS('Schedule Engine'!$G:$G,$A3,'Schedule Engine'!$N:$N,"&lt;="&amp;EB$1,'Schedule Engine'!$O:$O,"&gt;="&amp;EB$1)</f>
        <v>0</v>
      </c>
      <c r="EC3" s="0" t="n">
        <f aca="false">COUNTIFS('Schedule Engine'!$G:$G,$A3,'Schedule Engine'!$N:$N,"&lt;="&amp;EC$1,'Schedule Engine'!$O:$O,"&gt;="&amp;EC$1)</f>
        <v>0</v>
      </c>
      <c r="ED3" s="0" t="n">
        <f aca="false">COUNTIFS('Schedule Engine'!$G:$G,$A3,'Schedule Engine'!$N:$N,"&lt;="&amp;ED$1,'Schedule Engine'!$O:$O,"&gt;="&amp;ED$1)</f>
        <v>1</v>
      </c>
      <c r="EE3" s="0" t="n">
        <f aca="false">COUNTIFS('Schedule Engine'!$G:$G,$A3,'Schedule Engine'!$N:$N,"&lt;="&amp;EE$1,'Schedule Engine'!$O:$O,"&gt;="&amp;EE$1)</f>
        <v>1</v>
      </c>
      <c r="EF3" s="0" t="n">
        <f aca="false">COUNTIFS('Schedule Engine'!$G:$G,$A3,'Schedule Engine'!$N:$N,"&lt;="&amp;EF$1,'Schedule Engine'!$O:$O,"&gt;="&amp;EF$1)</f>
        <v>1</v>
      </c>
      <c r="EG3" s="0" t="n">
        <f aca="false">COUNTIFS('Schedule Engine'!$G:$G,$A3,'Schedule Engine'!$N:$N,"&lt;="&amp;EG$1,'Schedule Engine'!$O:$O,"&gt;="&amp;EG$1)</f>
        <v>1</v>
      </c>
      <c r="EH3" s="0" t="n">
        <f aca="false">COUNTIFS('Schedule Engine'!$G:$G,$A3,'Schedule Engine'!$N:$N,"&lt;="&amp;EH$1,'Schedule Engine'!$O:$O,"&gt;="&amp;EH$1)</f>
        <v>1</v>
      </c>
      <c r="EI3" s="0" t="n">
        <f aca="false">COUNTIFS('Schedule Engine'!$G:$G,$A3,'Schedule Engine'!$N:$N,"&lt;="&amp;EI$1,'Schedule Engine'!$O:$O,"&gt;="&amp;EI$1)</f>
        <v>0</v>
      </c>
      <c r="EJ3" s="0" t="n">
        <f aca="false">COUNTIFS('Schedule Engine'!$G:$G,$A3,'Schedule Engine'!$N:$N,"&lt;="&amp;EJ$1,'Schedule Engine'!$O:$O,"&gt;="&amp;EJ$1)</f>
        <v>0</v>
      </c>
      <c r="EK3" s="0" t="n">
        <f aca="false">COUNTIFS('Schedule Engine'!$G:$G,$A3,'Schedule Engine'!$N:$N,"&lt;="&amp;EK$1,'Schedule Engine'!$O:$O,"&gt;="&amp;EK$1)</f>
        <v>0</v>
      </c>
      <c r="EL3" s="0" t="n">
        <f aca="false">COUNTIFS('Schedule Engine'!$G:$G,$A3,'Schedule Engine'!$N:$N,"&lt;="&amp;EL$1,'Schedule Engine'!$O:$O,"&gt;="&amp;EL$1)</f>
        <v>0</v>
      </c>
      <c r="EM3" s="0" t="n">
        <f aca="false">COUNTIFS('Schedule Engine'!$G:$G,$A3,'Schedule Engine'!$N:$N,"&lt;="&amp;EM$1,'Schedule Engine'!$O:$O,"&gt;="&amp;EM$1)</f>
        <v>0</v>
      </c>
      <c r="EN3" s="0" t="n">
        <f aca="false">COUNTIFS('Schedule Engine'!$G:$G,$A3,'Schedule Engine'!$N:$N,"&lt;="&amp;EN$1,'Schedule Engine'!$O:$O,"&gt;="&amp;EN$1)</f>
        <v>0</v>
      </c>
      <c r="EO3" s="0" t="n">
        <f aca="false">COUNTIFS('Schedule Engine'!$G:$G,$A3,'Schedule Engine'!$N:$N,"&lt;="&amp;EO$1,'Schedule Engine'!$O:$O,"&gt;="&amp;EO$1)</f>
        <v>1</v>
      </c>
      <c r="EP3" s="0" t="n">
        <f aca="false">COUNTIFS('Schedule Engine'!$G:$G,$A3,'Schedule Engine'!$N:$N,"&lt;="&amp;EP$1,'Schedule Engine'!$O:$O,"&gt;="&amp;EP$1)</f>
        <v>1</v>
      </c>
      <c r="EQ3" s="0" t="n">
        <f aca="false">COUNTIFS('Schedule Engine'!$G:$G,$A3,'Schedule Engine'!$N:$N,"&lt;="&amp;EQ$1,'Schedule Engine'!$O:$O,"&gt;="&amp;EQ$1)</f>
        <v>1</v>
      </c>
      <c r="ER3" s="0" t="n">
        <f aca="false">COUNTIFS('Schedule Engine'!$G:$G,$A3,'Schedule Engine'!$N:$N,"&lt;="&amp;ER$1,'Schedule Engine'!$O:$O,"&gt;="&amp;ER$1)</f>
        <v>1</v>
      </c>
      <c r="ES3" s="0" t="n">
        <f aca="false">COUNTIFS('Schedule Engine'!$G:$G,$A3,'Schedule Engine'!$N:$N,"&lt;="&amp;ES$1,'Schedule Engine'!$O:$O,"&gt;="&amp;ES$1)</f>
        <v>1</v>
      </c>
      <c r="ET3" s="0" t="n">
        <f aca="false">COUNTIFS('Schedule Engine'!$G:$G,$A3,'Schedule Engine'!$N:$N,"&lt;="&amp;ET$1,'Schedule Engine'!$O:$O,"&gt;="&amp;ET$1)</f>
        <v>1</v>
      </c>
      <c r="EU3" s="0" t="n">
        <f aca="false">COUNTIFS('Schedule Engine'!$G:$G,$A3,'Schedule Engine'!$N:$N,"&lt;="&amp;EU$1,'Schedule Engine'!$O:$O,"&gt;="&amp;EU$1)</f>
        <v>1</v>
      </c>
      <c r="EV3" s="0" t="n">
        <f aca="false">COUNTIFS('Schedule Engine'!$G:$G,$A3,'Schedule Engine'!$N:$N,"&lt;="&amp;EV$1,'Schedule Engine'!$O:$O,"&gt;="&amp;EV$1)</f>
        <v>0</v>
      </c>
      <c r="EW3" s="0" t="n">
        <f aca="false">COUNTIFS('Schedule Engine'!$G:$G,$A3,'Schedule Engine'!$N:$N,"&lt;="&amp;EW$1,'Schedule Engine'!$O:$O,"&gt;="&amp;EW$1)</f>
        <v>0</v>
      </c>
      <c r="EX3" s="0" t="n">
        <f aca="false">COUNTIFS('Schedule Engine'!$G:$G,$A3,'Schedule Engine'!$N:$N,"&lt;="&amp;EX$1,'Schedule Engine'!$O:$O,"&gt;="&amp;EX$1)</f>
        <v>0</v>
      </c>
      <c r="EY3" s="0" t="n">
        <f aca="false">COUNTIFS('Schedule Engine'!$G:$G,$A3,'Schedule Engine'!$N:$N,"&lt;="&amp;EY$1,'Schedule Engine'!$O:$O,"&gt;="&amp;EY$1)</f>
        <v>1</v>
      </c>
      <c r="EZ3" s="0" t="n">
        <f aca="false">COUNTIFS('Schedule Engine'!$G:$G,$A3,'Schedule Engine'!$N:$N,"&lt;="&amp;EZ$1,'Schedule Engine'!$O:$O,"&gt;="&amp;EZ$1)</f>
        <v>1</v>
      </c>
      <c r="FA3" s="0" t="n">
        <f aca="false">COUNTIFS('Schedule Engine'!$G:$G,$A3,'Schedule Engine'!$N:$N,"&lt;="&amp;FA$1,'Schedule Engine'!$O:$O,"&gt;="&amp;FA$1)</f>
        <v>1</v>
      </c>
      <c r="FB3" s="0" t="n">
        <f aca="false">COUNTIFS('Schedule Engine'!$G:$G,$A3,'Schedule Engine'!$N:$N,"&lt;="&amp;FB$1,'Schedule Engine'!$O:$O,"&gt;="&amp;FB$1)</f>
        <v>1</v>
      </c>
      <c r="FC3" s="0" t="n">
        <f aca="false">COUNTIFS('Schedule Engine'!$G:$G,$A3,'Schedule Engine'!$N:$N,"&lt;="&amp;FC$1,'Schedule Engine'!$O:$O,"&gt;="&amp;FC$1)</f>
        <v>2</v>
      </c>
      <c r="FD3" s="0" t="n">
        <f aca="false">COUNTIFS('Schedule Engine'!$G:$G,$A3,'Schedule Engine'!$N:$N,"&lt;="&amp;FD$1,'Schedule Engine'!$O:$O,"&gt;="&amp;FD$1)</f>
        <v>1</v>
      </c>
      <c r="FE3" s="0" t="n">
        <f aca="false">COUNTIFS('Schedule Engine'!$G:$G,$A3,'Schedule Engine'!$N:$N,"&lt;="&amp;FE$1,'Schedule Engine'!$O:$O,"&gt;="&amp;FE$1)</f>
        <v>1</v>
      </c>
      <c r="FF3" s="0" t="n">
        <f aca="false">COUNTIFS('Schedule Engine'!$G:$G,$A3,'Schedule Engine'!$N:$N,"&lt;="&amp;FF$1,'Schedule Engine'!$O:$O,"&gt;="&amp;FF$1)</f>
        <v>1</v>
      </c>
      <c r="FG3" s="0" t="n">
        <f aca="false">COUNTIFS('Schedule Engine'!$G:$G,$A3,'Schedule Engine'!$N:$N,"&lt;="&amp;FG$1,'Schedule Engine'!$O:$O,"&gt;="&amp;FG$1)</f>
        <v>0</v>
      </c>
      <c r="FH3" s="0" t="n">
        <f aca="false">COUNTIFS('Schedule Engine'!$G:$G,$A3,'Schedule Engine'!$N:$N,"&lt;="&amp;FH$1,'Schedule Engine'!$O:$O,"&gt;="&amp;FH$1)</f>
        <v>0</v>
      </c>
      <c r="FI3" s="0" t="n">
        <f aca="false">COUNTIFS('Schedule Engine'!$G:$G,$A3,'Schedule Engine'!$N:$N,"&lt;="&amp;FI$1,'Schedule Engine'!$O:$O,"&gt;="&amp;FI$1)</f>
        <v>0</v>
      </c>
      <c r="FJ3" s="0" t="n">
        <f aca="false">COUNTIFS('Schedule Engine'!$G:$G,$A3,'Schedule Engine'!$N:$N,"&lt;="&amp;FJ$1,'Schedule Engine'!$O:$O,"&gt;="&amp;FJ$1)</f>
        <v>1</v>
      </c>
      <c r="FK3" s="0" t="n">
        <f aca="false">COUNTIFS('Schedule Engine'!$G:$G,$A3,'Schedule Engine'!$N:$N,"&lt;="&amp;FK$1,'Schedule Engine'!$O:$O,"&gt;="&amp;FK$1)</f>
        <v>1</v>
      </c>
      <c r="FL3" s="0" t="n">
        <f aca="false">COUNTIFS('Schedule Engine'!$G:$G,$A3,'Schedule Engine'!$N:$N,"&lt;="&amp;FL$1,'Schedule Engine'!$O:$O,"&gt;="&amp;FL$1)</f>
        <v>1</v>
      </c>
      <c r="FM3" s="0" t="n">
        <f aca="false">COUNTIFS('Schedule Engine'!$G:$G,$A3,'Schedule Engine'!$N:$N,"&lt;="&amp;FM$1,'Schedule Engine'!$O:$O,"&gt;="&amp;FM$1)</f>
        <v>1</v>
      </c>
      <c r="FN3" s="0" t="n">
        <f aca="false">COUNTIFS('Schedule Engine'!$G:$G,$A3,'Schedule Engine'!$N:$N,"&lt;="&amp;FN$1,'Schedule Engine'!$O:$O,"&gt;="&amp;FN$1)</f>
        <v>1</v>
      </c>
      <c r="FO3" s="0" t="n">
        <f aca="false">COUNTIFS('Schedule Engine'!$G:$G,$A3,'Schedule Engine'!$N:$N,"&lt;="&amp;FO$1,'Schedule Engine'!$O:$O,"&gt;="&amp;FO$1)</f>
        <v>1</v>
      </c>
      <c r="FP3" s="0" t="n">
        <f aca="false">COUNTIFS('Schedule Engine'!$G:$G,$A3,'Schedule Engine'!$N:$N,"&lt;="&amp;FP$1,'Schedule Engine'!$O:$O,"&gt;="&amp;FP$1)</f>
        <v>1</v>
      </c>
      <c r="FQ3" s="0" t="n">
        <f aca="false">COUNTIFS('Schedule Engine'!$G:$G,$A3,'Schedule Engine'!$N:$N,"&lt;="&amp;FQ$1,'Schedule Engine'!$O:$O,"&gt;="&amp;FQ$1)</f>
        <v>0</v>
      </c>
      <c r="FR3" s="0" t="n">
        <f aca="false">COUNTIFS('Schedule Engine'!$G:$G,$A3,'Schedule Engine'!$N:$N,"&lt;="&amp;FR$1,'Schedule Engine'!$O:$O,"&gt;="&amp;FR$1)</f>
        <v>0</v>
      </c>
      <c r="FS3" s="0" t="n">
        <f aca="false">COUNTIFS('Schedule Engine'!$G:$G,$A3,'Schedule Engine'!$N:$N,"&lt;="&amp;FS$1,'Schedule Engine'!$O:$O,"&gt;="&amp;FS$1)</f>
        <v>0</v>
      </c>
      <c r="FT3" s="0" t="n">
        <f aca="false">COUNTIFS('Schedule Engine'!$G:$G,$A3,'Schedule Engine'!$N:$N,"&lt;="&amp;FT$1,'Schedule Engine'!$O:$O,"&gt;="&amp;FT$1)</f>
        <v>0</v>
      </c>
      <c r="FU3" s="0" t="n">
        <f aca="false">COUNTIFS('Schedule Engine'!$G:$G,$A3,'Schedule Engine'!$N:$N,"&lt;="&amp;FU$1,'Schedule Engine'!$O:$O,"&gt;="&amp;FU$1)</f>
        <v>0</v>
      </c>
      <c r="FV3" s="0" t="n">
        <f aca="false">COUNTIFS('Schedule Engine'!$G:$G,$A3,'Schedule Engine'!$N:$N,"&lt;="&amp;FV$1,'Schedule Engine'!$O:$O,"&gt;="&amp;FV$1)</f>
        <v>0</v>
      </c>
      <c r="FW3" s="0" t="n">
        <f aca="false">COUNTIFS('Schedule Engine'!$G:$G,$A3,'Schedule Engine'!$N:$N,"&lt;="&amp;FW$1,'Schedule Engine'!$O:$O,"&gt;="&amp;FW$1)</f>
        <v>0</v>
      </c>
      <c r="FX3" s="0" t="n">
        <f aca="false">COUNTIFS('Schedule Engine'!$G:$G,$A3,'Schedule Engine'!$N:$N,"&lt;="&amp;FX$1,'Schedule Engine'!$O:$O,"&gt;="&amp;FX$1)</f>
        <v>1</v>
      </c>
      <c r="FY3" s="0" t="n">
        <f aca="false">COUNTIFS('Schedule Engine'!$G:$G,$A3,'Schedule Engine'!$N:$N,"&lt;="&amp;FY$1,'Schedule Engine'!$O:$O,"&gt;="&amp;FY$1)</f>
        <v>1</v>
      </c>
      <c r="FZ3" s="0" t="n">
        <f aca="false">COUNTIFS('Schedule Engine'!$G:$G,$A3,'Schedule Engine'!$N:$N,"&lt;="&amp;FZ$1,'Schedule Engine'!$O:$O,"&gt;="&amp;FZ$1)</f>
        <v>1</v>
      </c>
      <c r="GA3" s="0" t="n">
        <f aca="false">COUNTIFS('Schedule Engine'!$G:$G,$A3,'Schedule Engine'!$N:$N,"&lt;="&amp;GA$1,'Schedule Engine'!$O:$O,"&gt;="&amp;GA$1)</f>
        <v>1</v>
      </c>
      <c r="GB3" s="0" t="n">
        <f aca="false">COUNTIFS('Schedule Engine'!$G:$G,$A3,'Schedule Engine'!$N:$N,"&lt;="&amp;GB$1,'Schedule Engine'!$O:$O,"&gt;="&amp;GB$1)</f>
        <v>0</v>
      </c>
      <c r="GC3" s="0" t="n">
        <f aca="false">COUNTIFS('Schedule Engine'!$G:$G,$A3,'Schedule Engine'!$N:$N,"&lt;="&amp;GC$1,'Schedule Engine'!$O:$O,"&gt;="&amp;GC$1)</f>
        <v>0</v>
      </c>
      <c r="GD3" s="0" t="n">
        <f aca="false">COUNTIFS('Schedule Engine'!$G:$G,$A3,'Schedule Engine'!$N:$N,"&lt;="&amp;GD$1,'Schedule Engine'!$O:$O,"&gt;="&amp;GD$1)</f>
        <v>0</v>
      </c>
      <c r="GE3" s="0" t="n">
        <f aca="false">COUNTIFS('Schedule Engine'!$G:$G,$A3,'Schedule Engine'!$N:$N,"&lt;="&amp;GE$1,'Schedule Engine'!$O:$O,"&gt;="&amp;GE$1)</f>
        <v>1</v>
      </c>
      <c r="GF3" s="0" t="n">
        <f aca="false">COUNTIFS('Schedule Engine'!$G:$G,$A3,'Schedule Engine'!$N:$N,"&lt;="&amp;GF$1,'Schedule Engine'!$O:$O,"&gt;="&amp;GF$1)</f>
        <v>1</v>
      </c>
      <c r="GG3" s="0" t="n">
        <f aca="false">COUNTIFS('Schedule Engine'!$G:$G,$A3,'Schedule Engine'!$N:$N,"&lt;="&amp;GG$1,'Schedule Engine'!$O:$O,"&gt;="&amp;GG$1)</f>
        <v>1</v>
      </c>
      <c r="GH3" s="0" t="n">
        <f aca="false">COUNTIFS('Schedule Engine'!$G:$G,$A3,'Schedule Engine'!$N:$N,"&lt;="&amp;GH$1,'Schedule Engine'!$O:$O,"&gt;="&amp;GH$1)</f>
        <v>1</v>
      </c>
      <c r="GI3" s="0" t="n">
        <f aca="false">COUNTIFS('Schedule Engine'!$G:$G,$A3,'Schedule Engine'!$N:$N,"&lt;="&amp;GI$1,'Schedule Engine'!$O:$O,"&gt;="&amp;GI$1)</f>
        <v>1</v>
      </c>
      <c r="GJ3" s="0" t="n">
        <f aca="false">COUNTIFS('Schedule Engine'!$G:$G,$A3,'Schedule Engine'!$N:$N,"&lt;="&amp;GJ$1,'Schedule Engine'!$O:$O,"&gt;="&amp;GJ$1)</f>
        <v>1</v>
      </c>
      <c r="GK3" s="0" t="n">
        <f aca="false">COUNTIFS('Schedule Engine'!$G:$G,$A3,'Schedule Engine'!$N:$N,"&lt;="&amp;GK$1,'Schedule Engine'!$O:$O,"&gt;="&amp;GK$1)</f>
        <v>1</v>
      </c>
      <c r="GL3" s="0" t="n">
        <f aca="false">COUNTIFS('Schedule Engine'!$G:$G,$A3,'Schedule Engine'!$N:$N,"&lt;="&amp;GL$1,'Schedule Engine'!$O:$O,"&gt;="&amp;GL$1)</f>
        <v>0</v>
      </c>
      <c r="GM3" s="0" t="n">
        <f aca="false">COUNTIFS('Schedule Engine'!$G:$G,$A3,'Schedule Engine'!$N:$N,"&lt;="&amp;GM$1,'Schedule Engine'!$O:$O,"&gt;="&amp;GM$1)</f>
        <v>0</v>
      </c>
      <c r="GN3" s="0" t="n">
        <f aca="false">COUNTIFS('Schedule Engine'!$G:$G,$A3,'Schedule Engine'!$N:$N,"&lt;="&amp;GN$1,'Schedule Engine'!$O:$O,"&gt;="&amp;GN$1)</f>
        <v>0</v>
      </c>
      <c r="GO3" s="0" t="n">
        <f aca="false">COUNTIFS('Schedule Engine'!$G:$G,$A3,'Schedule Engine'!$N:$N,"&lt;="&amp;GO$1,'Schedule Engine'!$O:$O,"&gt;="&amp;GO$1)</f>
        <v>0</v>
      </c>
      <c r="GP3" s="0" t="n">
        <f aca="false">COUNTIFS('Schedule Engine'!$G:$G,$A3,'Schedule Engine'!$N:$N,"&lt;="&amp;GP$1,'Schedule Engine'!$O:$O,"&gt;="&amp;GP$1)</f>
        <v>0</v>
      </c>
      <c r="GQ3" s="0" t="n">
        <f aca="false">COUNTIFS('Schedule Engine'!$G:$G,$A3,'Schedule Engine'!$N:$N,"&lt;="&amp;GQ$1,'Schedule Engine'!$O:$O,"&gt;="&amp;GQ$1)</f>
        <v>0</v>
      </c>
      <c r="GR3" s="0" t="n">
        <f aca="false">COUNTIFS('Schedule Engine'!$G:$G,$A3,'Schedule Engine'!$N:$N,"&lt;="&amp;GR$1,'Schedule Engine'!$O:$O,"&gt;="&amp;GR$1)</f>
        <v>0</v>
      </c>
      <c r="GS3" s="0" t="n">
        <f aca="false">COUNTIFS('Schedule Engine'!$G:$G,$A3,'Schedule Engine'!$N:$N,"&lt;="&amp;GS$1,'Schedule Engine'!$O:$O,"&gt;="&amp;GS$1)</f>
        <v>1</v>
      </c>
      <c r="GT3" s="0" t="n">
        <f aca="false">COUNTIFS('Schedule Engine'!$G:$G,$A3,'Schedule Engine'!$N:$N,"&lt;="&amp;GT$1,'Schedule Engine'!$O:$O,"&gt;="&amp;GT$1)</f>
        <v>1</v>
      </c>
      <c r="GU3" s="0" t="n">
        <f aca="false">COUNTIFS('Schedule Engine'!$G:$G,$A3,'Schedule Engine'!$N:$N,"&lt;="&amp;GU$1,'Schedule Engine'!$O:$O,"&gt;="&amp;GU$1)</f>
        <v>1</v>
      </c>
      <c r="GV3" s="0" t="n">
        <f aca="false">COUNTIFS('Schedule Engine'!$G:$G,$A3,'Schedule Engine'!$N:$N,"&lt;="&amp;GV$1,'Schedule Engine'!$O:$O,"&gt;="&amp;GV$1)</f>
        <v>1</v>
      </c>
      <c r="GW3" s="0" t="n">
        <f aca="false">COUNTIFS('Schedule Engine'!$G:$G,$A3,'Schedule Engine'!$N:$N,"&lt;="&amp;GW$1,'Schedule Engine'!$O:$O,"&gt;="&amp;GW$1)</f>
        <v>0</v>
      </c>
      <c r="GX3" s="0" t="n">
        <f aca="false">COUNTIFS('Schedule Engine'!$G:$G,$A3,'Schedule Engine'!$N:$N,"&lt;="&amp;GX$1,'Schedule Engine'!$O:$O,"&gt;="&amp;GX$1)</f>
        <v>0</v>
      </c>
      <c r="GY3" s="0" t="n">
        <f aca="false">COUNTIFS('Schedule Engine'!$G:$G,$A3,'Schedule Engine'!$N:$N,"&lt;="&amp;GY$1,'Schedule Engine'!$O:$O,"&gt;="&amp;GY$1)</f>
        <v>0</v>
      </c>
      <c r="GZ3" s="0" t="n">
        <f aca="false">COUNTIFS('Schedule Engine'!$G:$G,$A3,'Schedule Engine'!$N:$N,"&lt;="&amp;GZ$1,'Schedule Engine'!$O:$O,"&gt;="&amp;GZ$1)</f>
        <v>1</v>
      </c>
      <c r="HA3" s="0" t="n">
        <f aca="false">COUNTIFS('Schedule Engine'!$G:$G,$A3,'Schedule Engine'!$N:$N,"&lt;="&amp;HA$1,'Schedule Engine'!$O:$O,"&gt;="&amp;HA$1)</f>
        <v>1</v>
      </c>
      <c r="HB3" s="0" t="n">
        <f aca="false">COUNTIFS('Schedule Engine'!$G:$G,$A3,'Schedule Engine'!$N:$N,"&lt;="&amp;HB$1,'Schedule Engine'!$O:$O,"&gt;="&amp;HB$1)</f>
        <v>1</v>
      </c>
      <c r="HC3" s="0" t="n">
        <f aca="false">COUNTIFS('Schedule Engine'!$G:$G,$A3,'Schedule Engine'!$N:$N,"&lt;="&amp;HC$1,'Schedule Engine'!$O:$O,"&gt;="&amp;HC$1)</f>
        <v>1</v>
      </c>
      <c r="HD3" s="0" t="n">
        <f aca="false">COUNTIFS('Schedule Engine'!$G:$G,$A3,'Schedule Engine'!$N:$N,"&lt;="&amp;HD$1,'Schedule Engine'!$O:$O,"&gt;="&amp;HD$1)</f>
        <v>1</v>
      </c>
      <c r="HE3" s="0" t="n">
        <f aca="false">COUNTIFS('Schedule Engine'!$G:$G,$A3,'Schedule Engine'!$N:$N,"&lt;="&amp;HE$1,'Schedule Engine'!$O:$O,"&gt;="&amp;HE$1)</f>
        <v>1</v>
      </c>
      <c r="HF3" s="0" t="n">
        <f aca="false">COUNTIFS('Schedule Engine'!$G:$G,$A3,'Schedule Engine'!$N:$N,"&lt;="&amp;HF$1,'Schedule Engine'!$O:$O,"&gt;="&amp;HF$1)</f>
        <v>1</v>
      </c>
      <c r="HG3" s="0" t="n">
        <f aca="false">COUNTIFS('Schedule Engine'!$G:$G,$A3,'Schedule Engine'!$N:$N,"&lt;="&amp;HG$1,'Schedule Engine'!$O:$O,"&gt;="&amp;HG$1)</f>
        <v>0</v>
      </c>
      <c r="HH3" s="0" t="n">
        <f aca="false">COUNTIFS('Schedule Engine'!$G:$G,$A3,'Schedule Engine'!$N:$N,"&lt;="&amp;HH$1,'Schedule Engine'!$O:$O,"&gt;="&amp;HH$1)</f>
        <v>0</v>
      </c>
      <c r="HI3" s="0" t="n">
        <f aca="false">COUNTIFS('Schedule Engine'!$G:$G,$A3,'Schedule Engine'!$N:$N,"&lt;="&amp;HI$1,'Schedule Engine'!$O:$O,"&gt;="&amp;HI$1)</f>
        <v>0</v>
      </c>
      <c r="HJ3" s="0" t="n">
        <f aca="false">COUNTIFS('Schedule Engine'!$G:$G,$A3,'Schedule Engine'!$N:$N,"&lt;="&amp;HJ$1,'Schedule Engine'!$O:$O,"&gt;="&amp;HJ$1)</f>
        <v>0</v>
      </c>
      <c r="HK3" s="0" t="n">
        <f aca="false">COUNTIFS('Schedule Engine'!$G:$G,$A3,'Schedule Engine'!$N:$N,"&lt;="&amp;HK$1,'Schedule Engine'!$O:$O,"&gt;="&amp;HK$1)</f>
        <v>0</v>
      </c>
      <c r="HL3" s="0" t="n">
        <f aca="false">COUNTIFS('Schedule Engine'!$G:$G,$A3,'Schedule Engine'!$N:$N,"&lt;="&amp;HL$1,'Schedule Engine'!$O:$O,"&gt;="&amp;HL$1)</f>
        <v>0</v>
      </c>
      <c r="HM3" s="0" t="n">
        <f aca="false">COUNTIFS('Schedule Engine'!$G:$G,$A3,'Schedule Engine'!$N:$N,"&lt;="&amp;HM$1,'Schedule Engine'!$O:$O,"&gt;="&amp;HM$1)</f>
        <v>0</v>
      </c>
      <c r="HN3" s="0" t="n">
        <f aca="false">COUNTIFS('Schedule Engine'!$G:$G,$A3,'Schedule Engine'!$N:$N,"&lt;="&amp;HN$1,'Schedule Engine'!$O:$O,"&gt;="&amp;HN$1)</f>
        <v>1</v>
      </c>
    </row>
    <row r="4" customFormat="false" ht="16.4" hidden="false" customHeight="false" outlineLevel="0" collapsed="false">
      <c r="A4" s="0" t="s">
        <v>56</v>
      </c>
      <c r="B4" s="0" t="n">
        <v>1</v>
      </c>
      <c r="C4" s="0" t="n">
        <f aca="false">COUNTIFS('Schedule Engine'!$G:$G,$A4,'Schedule Engine'!$N:$N,"&lt;="&amp;C$1,'Schedule Engine'!$O:$O,"&gt;="&amp;C$1)</f>
        <v>0</v>
      </c>
      <c r="D4" s="0" t="n">
        <f aca="false">COUNTIFS('Schedule Engine'!$G:$G,$A4,'Schedule Engine'!$N:$N,"&lt;="&amp;D$1,'Schedule Engine'!$O:$O,"&gt;="&amp;D$1)</f>
        <v>0</v>
      </c>
      <c r="E4" s="0" t="n">
        <f aca="false">COUNTIFS('Schedule Engine'!$G:$G,$A4,'Schedule Engine'!$N:$N,"&lt;="&amp;E$1,'Schedule Engine'!$O:$O,"&gt;="&amp;E$1)</f>
        <v>0</v>
      </c>
      <c r="F4" s="0" t="n">
        <f aca="false">COUNTIFS('Schedule Engine'!$G:$G,$A4,'Schedule Engine'!$N:$N,"&lt;="&amp;F$1,'Schedule Engine'!$O:$O,"&gt;="&amp;F$1)</f>
        <v>0</v>
      </c>
      <c r="G4" s="0" t="n">
        <f aca="false">COUNTIFS('Schedule Engine'!$G:$G,$A4,'Schedule Engine'!$N:$N,"&lt;="&amp;G$1,'Schedule Engine'!$O:$O,"&gt;="&amp;G$1)</f>
        <v>0</v>
      </c>
      <c r="H4" s="0" t="n">
        <f aca="false">COUNTIFS('Schedule Engine'!$G:$G,$A4,'Schedule Engine'!$N:$N,"&lt;="&amp;H$1,'Schedule Engine'!$O:$O,"&gt;="&amp;H$1)</f>
        <v>0</v>
      </c>
      <c r="I4" s="0" t="n">
        <f aca="false">COUNTIFS('Schedule Engine'!$G:$G,$A4,'Schedule Engine'!$N:$N,"&lt;="&amp;I$1,'Schedule Engine'!$O:$O,"&gt;="&amp;I$1)</f>
        <v>0</v>
      </c>
      <c r="J4" s="0" t="n">
        <f aca="false">COUNTIFS('Schedule Engine'!$G:$G,$A4,'Schedule Engine'!$N:$N,"&lt;="&amp;J$1,'Schedule Engine'!$O:$O,"&gt;="&amp;J$1)</f>
        <v>0</v>
      </c>
      <c r="K4" s="0" t="n">
        <f aca="false">COUNTIFS('Schedule Engine'!$G:$G,$A4,'Schedule Engine'!$N:$N,"&lt;="&amp;K$1,'Schedule Engine'!$O:$O,"&gt;="&amp;K$1)</f>
        <v>0</v>
      </c>
      <c r="L4" s="0" t="n">
        <f aca="false">COUNTIFS('Schedule Engine'!$G:$G,$A4,'Schedule Engine'!$N:$N,"&lt;="&amp;L$1,'Schedule Engine'!$O:$O,"&gt;="&amp;L$1)</f>
        <v>0</v>
      </c>
      <c r="M4" s="0" t="n">
        <f aca="false">COUNTIFS('Schedule Engine'!$G:$G,$A4,'Schedule Engine'!$N:$N,"&lt;="&amp;M$1,'Schedule Engine'!$O:$O,"&gt;="&amp;M$1)</f>
        <v>0</v>
      </c>
      <c r="N4" s="0" t="n">
        <f aca="false">COUNTIFS('Schedule Engine'!$G:$G,$A4,'Schedule Engine'!$N:$N,"&lt;="&amp;N$1,'Schedule Engine'!$O:$O,"&gt;="&amp;N$1)</f>
        <v>0</v>
      </c>
      <c r="O4" s="0" t="n">
        <f aca="false">COUNTIFS('Schedule Engine'!$G:$G,$A4,'Schedule Engine'!$N:$N,"&lt;="&amp;O$1,'Schedule Engine'!$O:$O,"&gt;="&amp;O$1)</f>
        <v>0</v>
      </c>
      <c r="P4" s="0" t="n">
        <f aca="false">COUNTIFS('Schedule Engine'!$G:$G,$A4,'Schedule Engine'!$N:$N,"&lt;="&amp;P$1,'Schedule Engine'!$O:$O,"&gt;="&amp;P$1)</f>
        <v>0</v>
      </c>
      <c r="Q4" s="0" t="n">
        <f aca="false">COUNTIFS('Schedule Engine'!$G:$G,$A4,'Schedule Engine'!$N:$N,"&lt;="&amp;Q$1,'Schedule Engine'!$O:$O,"&gt;="&amp;Q$1)</f>
        <v>0</v>
      </c>
      <c r="R4" s="0" t="n">
        <f aca="false">COUNTIFS('Schedule Engine'!$G:$G,$A4,'Schedule Engine'!$N:$N,"&lt;="&amp;R$1,'Schedule Engine'!$O:$O,"&gt;="&amp;R$1)</f>
        <v>0</v>
      </c>
      <c r="S4" s="0" t="n">
        <f aca="false">COUNTIFS('Schedule Engine'!$G:$G,$A4,'Schedule Engine'!$N:$N,"&lt;="&amp;S$1,'Schedule Engine'!$O:$O,"&gt;="&amp;S$1)</f>
        <v>0</v>
      </c>
      <c r="T4" s="0" t="n">
        <f aca="false">COUNTIFS('Schedule Engine'!$G:$G,$A4,'Schedule Engine'!$N:$N,"&lt;="&amp;T$1,'Schedule Engine'!$O:$O,"&gt;="&amp;T$1)</f>
        <v>0</v>
      </c>
      <c r="U4" s="0" t="n">
        <f aca="false">COUNTIFS('Schedule Engine'!$G:$G,$A4,'Schedule Engine'!$N:$N,"&lt;="&amp;U$1,'Schedule Engine'!$O:$O,"&gt;="&amp;U$1)</f>
        <v>0</v>
      </c>
      <c r="V4" s="0" t="n">
        <f aca="false">COUNTIFS('Schedule Engine'!$G:$G,$A4,'Schedule Engine'!$N:$N,"&lt;="&amp;V$1,'Schedule Engine'!$O:$O,"&gt;="&amp;V$1)</f>
        <v>0</v>
      </c>
      <c r="W4" s="0" t="n">
        <f aca="false">COUNTIFS('Schedule Engine'!$G:$G,$A4,'Schedule Engine'!$N:$N,"&lt;="&amp;W$1,'Schedule Engine'!$O:$O,"&gt;="&amp;W$1)</f>
        <v>0</v>
      </c>
      <c r="X4" s="0" t="n">
        <f aca="false">COUNTIFS('Schedule Engine'!$G:$G,$A4,'Schedule Engine'!$N:$N,"&lt;="&amp;X$1,'Schedule Engine'!$O:$O,"&gt;="&amp;X$1)</f>
        <v>0</v>
      </c>
      <c r="Y4" s="0" t="n">
        <f aca="false">COUNTIFS('Schedule Engine'!$G:$G,$A4,'Schedule Engine'!$N:$N,"&lt;="&amp;Y$1,'Schedule Engine'!$O:$O,"&gt;="&amp;Y$1)</f>
        <v>0</v>
      </c>
      <c r="Z4" s="0" t="n">
        <f aca="false">COUNTIFS('Schedule Engine'!$G:$G,$A4,'Schedule Engine'!$N:$N,"&lt;="&amp;Z$1,'Schedule Engine'!$O:$O,"&gt;="&amp;Z$1)</f>
        <v>0</v>
      </c>
      <c r="AA4" s="0" t="n">
        <f aca="false">COUNTIFS('Schedule Engine'!$G:$G,$A4,'Schedule Engine'!$N:$N,"&lt;="&amp;AA$1,'Schedule Engine'!$O:$O,"&gt;="&amp;AA$1)</f>
        <v>0</v>
      </c>
      <c r="AB4" s="0" t="n">
        <f aca="false">COUNTIFS('Schedule Engine'!$G:$G,$A4,'Schedule Engine'!$N:$N,"&lt;="&amp;AB$1,'Schedule Engine'!$O:$O,"&gt;="&amp;AB$1)</f>
        <v>0</v>
      </c>
      <c r="AC4" s="0" t="n">
        <f aca="false">COUNTIFS('Schedule Engine'!$G:$G,$A4,'Schedule Engine'!$N:$N,"&lt;="&amp;AC$1,'Schedule Engine'!$O:$O,"&gt;="&amp;AC$1)</f>
        <v>0</v>
      </c>
      <c r="AD4" s="0" t="n">
        <f aca="false">COUNTIFS('Schedule Engine'!$G:$G,$A4,'Schedule Engine'!$N:$N,"&lt;="&amp;AD$1,'Schedule Engine'!$O:$O,"&gt;="&amp;AD$1)</f>
        <v>0</v>
      </c>
      <c r="AE4" s="0" t="n">
        <f aca="false">COUNTIFS('Schedule Engine'!$G:$G,$A4,'Schedule Engine'!$N:$N,"&lt;="&amp;AE$1,'Schedule Engine'!$O:$O,"&gt;="&amp;AE$1)</f>
        <v>0</v>
      </c>
      <c r="AF4" s="0" t="n">
        <f aca="false">COUNTIFS('Schedule Engine'!$G:$G,$A4,'Schedule Engine'!$N:$N,"&lt;="&amp;AF$1,'Schedule Engine'!$O:$O,"&gt;="&amp;AF$1)</f>
        <v>0</v>
      </c>
      <c r="AG4" s="0" t="n">
        <f aca="false">COUNTIFS('Schedule Engine'!$G:$G,$A4,'Schedule Engine'!$N:$N,"&lt;="&amp;AG$1,'Schedule Engine'!$O:$O,"&gt;="&amp;AG$1)</f>
        <v>0</v>
      </c>
      <c r="AH4" s="0" t="n">
        <f aca="false">COUNTIFS('Schedule Engine'!$G:$G,$A4,'Schedule Engine'!$N:$N,"&lt;="&amp;AH$1,'Schedule Engine'!$O:$O,"&gt;="&amp;AH$1)</f>
        <v>0</v>
      </c>
      <c r="AI4" s="0" t="n">
        <f aca="false">COUNTIFS('Schedule Engine'!$G:$G,$A4,'Schedule Engine'!$N:$N,"&lt;="&amp;AI$1,'Schedule Engine'!$O:$O,"&gt;="&amp;AI$1)</f>
        <v>0</v>
      </c>
      <c r="AJ4" s="0" t="n">
        <f aca="false">COUNTIFS('Schedule Engine'!$G:$G,$A4,'Schedule Engine'!$N:$N,"&lt;="&amp;AJ$1,'Schedule Engine'!$O:$O,"&gt;="&amp;AJ$1)</f>
        <v>0</v>
      </c>
      <c r="AK4" s="0" t="n">
        <f aca="false">COUNTIFS('Schedule Engine'!$G:$G,$A4,'Schedule Engine'!$N:$N,"&lt;="&amp;AK$1,'Schedule Engine'!$O:$O,"&gt;="&amp;AK$1)</f>
        <v>0</v>
      </c>
      <c r="AL4" s="0" t="n">
        <f aca="false">COUNTIFS('Schedule Engine'!$G:$G,$A4,'Schedule Engine'!$N:$N,"&lt;="&amp;AL$1,'Schedule Engine'!$O:$O,"&gt;="&amp;AL$1)</f>
        <v>0</v>
      </c>
      <c r="AM4" s="0" t="n">
        <f aca="false">COUNTIFS('Schedule Engine'!$G:$G,$A4,'Schedule Engine'!$N:$N,"&lt;="&amp;AM$1,'Schedule Engine'!$O:$O,"&gt;="&amp;AM$1)</f>
        <v>0</v>
      </c>
      <c r="AN4" s="0" t="n">
        <f aca="false">COUNTIFS('Schedule Engine'!$G:$G,$A4,'Schedule Engine'!$N:$N,"&lt;="&amp;AN$1,'Schedule Engine'!$O:$O,"&gt;="&amp;AN$1)</f>
        <v>0</v>
      </c>
      <c r="AO4" s="0" t="n">
        <f aca="false">COUNTIFS('Schedule Engine'!$G:$G,$A4,'Schedule Engine'!$N:$N,"&lt;="&amp;AO$1,'Schedule Engine'!$O:$O,"&gt;="&amp;AO$1)</f>
        <v>0</v>
      </c>
      <c r="AP4" s="0" t="n">
        <f aca="false">COUNTIFS('Schedule Engine'!$G:$G,$A4,'Schedule Engine'!$N:$N,"&lt;="&amp;AP$1,'Schedule Engine'!$O:$O,"&gt;="&amp;AP$1)</f>
        <v>0</v>
      </c>
      <c r="AQ4" s="0" t="n">
        <f aca="false">COUNTIFS('Schedule Engine'!$G:$G,$A4,'Schedule Engine'!$N:$N,"&lt;="&amp;AQ$1,'Schedule Engine'!$O:$O,"&gt;="&amp;AQ$1)</f>
        <v>0</v>
      </c>
      <c r="AR4" s="0" t="n">
        <f aca="false">COUNTIFS('Schedule Engine'!$G:$G,$A4,'Schedule Engine'!$N:$N,"&lt;="&amp;AR$1,'Schedule Engine'!$O:$O,"&gt;="&amp;AR$1)</f>
        <v>0</v>
      </c>
      <c r="AS4" s="0" t="n">
        <f aca="false">COUNTIFS('Schedule Engine'!$G:$G,$A4,'Schedule Engine'!$N:$N,"&lt;="&amp;AS$1,'Schedule Engine'!$O:$O,"&gt;="&amp;AS$1)</f>
        <v>0</v>
      </c>
      <c r="AT4" s="0" t="n">
        <f aca="false">COUNTIFS('Schedule Engine'!$G:$G,$A4,'Schedule Engine'!$N:$N,"&lt;="&amp;AT$1,'Schedule Engine'!$O:$O,"&gt;="&amp;AT$1)</f>
        <v>0</v>
      </c>
      <c r="AU4" s="0" t="n">
        <f aca="false">COUNTIFS('Schedule Engine'!$G:$G,$A4,'Schedule Engine'!$N:$N,"&lt;="&amp;AU$1,'Schedule Engine'!$O:$O,"&gt;="&amp;AU$1)</f>
        <v>0</v>
      </c>
      <c r="AV4" s="0" t="n">
        <f aca="false">COUNTIFS('Schedule Engine'!$G:$G,$A4,'Schedule Engine'!$N:$N,"&lt;="&amp;AV$1,'Schedule Engine'!$O:$O,"&gt;="&amp;AV$1)</f>
        <v>0</v>
      </c>
      <c r="AW4" s="0" t="n">
        <f aca="false">COUNTIFS('Schedule Engine'!$G:$G,$A4,'Schedule Engine'!$N:$N,"&lt;="&amp;AW$1,'Schedule Engine'!$O:$O,"&gt;="&amp;AW$1)</f>
        <v>0</v>
      </c>
      <c r="AX4" s="0" t="n">
        <f aca="false">COUNTIFS('Schedule Engine'!$G:$G,$A4,'Schedule Engine'!$N:$N,"&lt;="&amp;AX$1,'Schedule Engine'!$O:$O,"&gt;="&amp;AX$1)</f>
        <v>0</v>
      </c>
      <c r="AY4" s="0" t="n">
        <f aca="false">COUNTIFS('Schedule Engine'!$G:$G,$A4,'Schedule Engine'!$N:$N,"&lt;="&amp;AY$1,'Schedule Engine'!$O:$O,"&gt;="&amp;AY$1)</f>
        <v>0</v>
      </c>
      <c r="AZ4" s="0" t="n">
        <f aca="false">COUNTIFS('Schedule Engine'!$G:$G,$A4,'Schedule Engine'!$N:$N,"&lt;="&amp;AZ$1,'Schedule Engine'!$O:$O,"&gt;="&amp;AZ$1)</f>
        <v>0</v>
      </c>
      <c r="BA4" s="0" t="n">
        <f aca="false">COUNTIFS('Schedule Engine'!$G:$G,$A4,'Schedule Engine'!$N:$N,"&lt;="&amp;BA$1,'Schedule Engine'!$O:$O,"&gt;="&amp;BA$1)</f>
        <v>0</v>
      </c>
      <c r="BB4" s="0" t="n">
        <f aca="false">COUNTIFS('Schedule Engine'!$G:$G,$A4,'Schedule Engine'!$N:$N,"&lt;="&amp;BB$1,'Schedule Engine'!$O:$O,"&gt;="&amp;BB$1)</f>
        <v>0</v>
      </c>
      <c r="BC4" s="0" t="n">
        <f aca="false">COUNTIFS('Schedule Engine'!$G:$G,$A4,'Schedule Engine'!$N:$N,"&lt;="&amp;BC$1,'Schedule Engine'!$O:$O,"&gt;="&amp;BC$1)</f>
        <v>0</v>
      </c>
      <c r="BD4" s="0" t="n">
        <f aca="false">COUNTIFS('Schedule Engine'!$G:$G,$A4,'Schedule Engine'!$N:$N,"&lt;="&amp;BD$1,'Schedule Engine'!$O:$O,"&gt;="&amp;BD$1)</f>
        <v>0</v>
      </c>
      <c r="BE4" s="0" t="n">
        <f aca="false">COUNTIFS('Schedule Engine'!$G:$G,$A4,'Schedule Engine'!$N:$N,"&lt;="&amp;BE$1,'Schedule Engine'!$O:$O,"&gt;="&amp;BE$1)</f>
        <v>0</v>
      </c>
      <c r="BF4" s="0" t="n">
        <f aca="false">COUNTIFS('Schedule Engine'!$G:$G,$A4,'Schedule Engine'!$N:$N,"&lt;="&amp;BF$1,'Schedule Engine'!$O:$O,"&gt;="&amp;BF$1)</f>
        <v>0</v>
      </c>
      <c r="BG4" s="0" t="n">
        <f aca="false">COUNTIFS('Schedule Engine'!$G:$G,$A4,'Schedule Engine'!$N:$N,"&lt;="&amp;BG$1,'Schedule Engine'!$O:$O,"&gt;="&amp;BG$1)</f>
        <v>0</v>
      </c>
      <c r="BH4" s="0" t="n">
        <f aca="false">COUNTIFS('Schedule Engine'!$G:$G,$A4,'Schedule Engine'!$N:$N,"&lt;="&amp;BH$1,'Schedule Engine'!$O:$O,"&gt;="&amp;BH$1)</f>
        <v>0</v>
      </c>
      <c r="BI4" s="0" t="n">
        <f aca="false">COUNTIFS('Schedule Engine'!$G:$G,$A4,'Schedule Engine'!$N:$N,"&lt;="&amp;BI$1,'Schedule Engine'!$O:$O,"&gt;="&amp;BI$1)</f>
        <v>0</v>
      </c>
      <c r="BJ4" s="0" t="n">
        <f aca="false">COUNTIFS('Schedule Engine'!$G:$G,$A4,'Schedule Engine'!$N:$N,"&lt;="&amp;BJ$1,'Schedule Engine'!$O:$O,"&gt;="&amp;BJ$1)</f>
        <v>0</v>
      </c>
      <c r="BK4" s="0" t="n">
        <f aca="false">COUNTIFS('Schedule Engine'!$G:$G,$A4,'Schedule Engine'!$N:$N,"&lt;="&amp;BK$1,'Schedule Engine'!$O:$O,"&gt;="&amp;BK$1)</f>
        <v>0</v>
      </c>
      <c r="BL4" s="0" t="n">
        <f aca="false">COUNTIFS('Schedule Engine'!$G:$G,$A4,'Schedule Engine'!$N:$N,"&lt;="&amp;BL$1,'Schedule Engine'!$O:$O,"&gt;="&amp;BL$1)</f>
        <v>0</v>
      </c>
      <c r="BM4" s="0" t="n">
        <f aca="false">COUNTIFS('Schedule Engine'!$G:$G,$A4,'Schedule Engine'!$N:$N,"&lt;="&amp;BM$1,'Schedule Engine'!$O:$O,"&gt;="&amp;BM$1)</f>
        <v>0</v>
      </c>
      <c r="BN4" s="0" t="n">
        <f aca="false">COUNTIFS('Schedule Engine'!$G:$G,$A4,'Schedule Engine'!$N:$N,"&lt;="&amp;BN$1,'Schedule Engine'!$O:$O,"&gt;="&amp;BN$1)</f>
        <v>0</v>
      </c>
      <c r="BO4" s="0" t="n">
        <f aca="false">COUNTIFS('Schedule Engine'!$G:$G,$A4,'Schedule Engine'!$N:$N,"&lt;="&amp;BO$1,'Schedule Engine'!$O:$O,"&gt;="&amp;BO$1)</f>
        <v>0</v>
      </c>
      <c r="BP4" s="0" t="n">
        <f aca="false">COUNTIFS('Schedule Engine'!$G:$G,$A4,'Schedule Engine'!$N:$N,"&lt;="&amp;BP$1,'Schedule Engine'!$O:$O,"&gt;="&amp;BP$1)</f>
        <v>0</v>
      </c>
      <c r="BQ4" s="0" t="n">
        <f aca="false">COUNTIFS('Schedule Engine'!$G:$G,$A4,'Schedule Engine'!$N:$N,"&lt;="&amp;BQ$1,'Schedule Engine'!$O:$O,"&gt;="&amp;BQ$1)</f>
        <v>0</v>
      </c>
      <c r="BR4" s="0" t="n">
        <f aca="false">COUNTIFS('Schedule Engine'!$G:$G,$A4,'Schedule Engine'!$N:$N,"&lt;="&amp;BR$1,'Schedule Engine'!$O:$O,"&gt;="&amp;BR$1)</f>
        <v>0</v>
      </c>
      <c r="BS4" s="0" t="n">
        <f aca="false">COUNTIFS('Schedule Engine'!$G:$G,$A4,'Schedule Engine'!$N:$N,"&lt;="&amp;BS$1,'Schedule Engine'!$O:$O,"&gt;="&amp;BS$1)</f>
        <v>0</v>
      </c>
      <c r="BT4" s="0" t="n">
        <f aca="false">COUNTIFS('Schedule Engine'!$G:$G,$A4,'Schedule Engine'!$N:$N,"&lt;="&amp;BT$1,'Schedule Engine'!$O:$O,"&gt;="&amp;BT$1)</f>
        <v>0</v>
      </c>
      <c r="BU4" s="0" t="n">
        <f aca="false">COUNTIFS('Schedule Engine'!$G:$G,$A4,'Schedule Engine'!$N:$N,"&lt;="&amp;BU$1,'Schedule Engine'!$O:$O,"&gt;="&amp;BU$1)</f>
        <v>0</v>
      </c>
      <c r="BV4" s="0" t="n">
        <f aca="false">COUNTIFS('Schedule Engine'!$G:$G,$A4,'Schedule Engine'!$N:$N,"&lt;="&amp;BV$1,'Schedule Engine'!$O:$O,"&gt;="&amp;BV$1)</f>
        <v>0</v>
      </c>
      <c r="BW4" s="0" t="n">
        <f aca="false">COUNTIFS('Schedule Engine'!$G:$G,$A4,'Schedule Engine'!$N:$N,"&lt;="&amp;BW$1,'Schedule Engine'!$O:$O,"&gt;="&amp;BW$1)</f>
        <v>0</v>
      </c>
      <c r="BX4" s="0" t="n">
        <f aca="false">COUNTIFS('Schedule Engine'!$G:$G,$A4,'Schedule Engine'!$N:$N,"&lt;="&amp;BX$1,'Schedule Engine'!$O:$O,"&gt;="&amp;BX$1)</f>
        <v>0</v>
      </c>
      <c r="BY4" s="0" t="n">
        <f aca="false">COUNTIFS('Schedule Engine'!$G:$G,$A4,'Schedule Engine'!$N:$N,"&lt;="&amp;BY$1,'Schedule Engine'!$O:$O,"&gt;="&amp;BY$1)</f>
        <v>0</v>
      </c>
      <c r="BZ4" s="0" t="n">
        <f aca="false">COUNTIFS('Schedule Engine'!$G:$G,$A4,'Schedule Engine'!$N:$N,"&lt;="&amp;BZ$1,'Schedule Engine'!$O:$O,"&gt;="&amp;BZ$1)</f>
        <v>0</v>
      </c>
      <c r="CA4" s="0" t="n">
        <f aca="false">COUNTIFS('Schedule Engine'!$G:$G,$A4,'Schedule Engine'!$N:$N,"&lt;="&amp;CA$1,'Schedule Engine'!$O:$O,"&gt;="&amp;CA$1)</f>
        <v>0</v>
      </c>
      <c r="CB4" s="0" t="n">
        <f aca="false">COUNTIFS('Schedule Engine'!$G:$G,$A4,'Schedule Engine'!$N:$N,"&lt;="&amp;CB$1,'Schedule Engine'!$O:$O,"&gt;="&amp;CB$1)</f>
        <v>0</v>
      </c>
      <c r="CC4" s="0" t="n">
        <f aca="false">COUNTIFS('Schedule Engine'!$G:$G,$A4,'Schedule Engine'!$N:$N,"&lt;="&amp;CC$1,'Schedule Engine'!$O:$O,"&gt;="&amp;CC$1)</f>
        <v>0</v>
      </c>
      <c r="CD4" s="0" t="n">
        <f aca="false">COUNTIFS('Schedule Engine'!$G:$G,$A4,'Schedule Engine'!$N:$N,"&lt;="&amp;CD$1,'Schedule Engine'!$O:$O,"&gt;="&amp;CD$1)</f>
        <v>0</v>
      </c>
      <c r="CE4" s="0" t="n">
        <f aca="false">COUNTIFS('Schedule Engine'!$G:$G,$A4,'Schedule Engine'!$N:$N,"&lt;="&amp;CE$1,'Schedule Engine'!$O:$O,"&gt;="&amp;CE$1)</f>
        <v>0</v>
      </c>
      <c r="CF4" s="0" t="n">
        <f aca="false">COUNTIFS('Schedule Engine'!$G:$G,$A4,'Schedule Engine'!$N:$N,"&lt;="&amp;CF$1,'Schedule Engine'!$O:$O,"&gt;="&amp;CF$1)</f>
        <v>0</v>
      </c>
      <c r="CG4" s="0" t="n">
        <f aca="false">COUNTIFS('Schedule Engine'!$G:$G,$A4,'Schedule Engine'!$N:$N,"&lt;="&amp;CG$1,'Schedule Engine'!$O:$O,"&gt;="&amp;CG$1)</f>
        <v>0</v>
      </c>
      <c r="CH4" s="0" t="n">
        <f aca="false">COUNTIFS('Schedule Engine'!$G:$G,$A4,'Schedule Engine'!$N:$N,"&lt;="&amp;CH$1,'Schedule Engine'!$O:$O,"&gt;="&amp;CH$1)</f>
        <v>0</v>
      </c>
      <c r="CI4" s="0" t="n">
        <f aca="false">COUNTIFS('Schedule Engine'!$G:$G,$A4,'Schedule Engine'!$N:$N,"&lt;="&amp;CI$1,'Schedule Engine'!$O:$O,"&gt;="&amp;CI$1)</f>
        <v>0</v>
      </c>
      <c r="CJ4" s="0" t="n">
        <f aca="false">COUNTIFS('Schedule Engine'!$G:$G,$A4,'Schedule Engine'!$N:$N,"&lt;="&amp;CJ$1,'Schedule Engine'!$O:$O,"&gt;="&amp;CJ$1)</f>
        <v>0</v>
      </c>
      <c r="CK4" s="0" t="n">
        <f aca="false">COUNTIFS('Schedule Engine'!$G:$G,$A4,'Schedule Engine'!$N:$N,"&lt;="&amp;CK$1,'Schedule Engine'!$O:$O,"&gt;="&amp;CK$1)</f>
        <v>0</v>
      </c>
      <c r="CL4" s="0" t="n">
        <f aca="false">COUNTIFS('Schedule Engine'!$G:$G,$A4,'Schedule Engine'!$N:$N,"&lt;="&amp;CL$1,'Schedule Engine'!$O:$O,"&gt;="&amp;CL$1)</f>
        <v>0</v>
      </c>
      <c r="CM4" s="0" t="n">
        <f aca="false">COUNTIFS('Schedule Engine'!$G:$G,$A4,'Schedule Engine'!$N:$N,"&lt;="&amp;CM$1,'Schedule Engine'!$O:$O,"&gt;="&amp;CM$1)</f>
        <v>0</v>
      </c>
      <c r="CN4" s="0" t="n">
        <f aca="false">COUNTIFS('Schedule Engine'!$G:$G,$A4,'Schedule Engine'!$N:$N,"&lt;="&amp;CN$1,'Schedule Engine'!$O:$O,"&gt;="&amp;CN$1)</f>
        <v>0</v>
      </c>
      <c r="CO4" s="0" t="n">
        <f aca="false">COUNTIFS('Schedule Engine'!$G:$G,$A4,'Schedule Engine'!$N:$N,"&lt;="&amp;CO$1,'Schedule Engine'!$O:$O,"&gt;="&amp;CO$1)</f>
        <v>0</v>
      </c>
      <c r="CP4" s="0" t="n">
        <f aca="false">COUNTIFS('Schedule Engine'!$G:$G,$A4,'Schedule Engine'!$N:$N,"&lt;="&amp;CP$1,'Schedule Engine'!$O:$O,"&gt;="&amp;CP$1)</f>
        <v>0</v>
      </c>
      <c r="CQ4" s="0" t="n">
        <f aca="false">COUNTIFS('Schedule Engine'!$G:$G,$A4,'Schedule Engine'!$N:$N,"&lt;="&amp;CQ$1,'Schedule Engine'!$O:$O,"&gt;="&amp;CQ$1)</f>
        <v>0</v>
      </c>
      <c r="CR4" s="0" t="n">
        <f aca="false">COUNTIFS('Schedule Engine'!$G:$G,$A4,'Schedule Engine'!$N:$N,"&lt;="&amp;CR$1,'Schedule Engine'!$O:$O,"&gt;="&amp;CR$1)</f>
        <v>0</v>
      </c>
      <c r="CS4" s="0" t="n">
        <f aca="false">COUNTIFS('Schedule Engine'!$G:$G,$A4,'Schedule Engine'!$N:$N,"&lt;="&amp;CS$1,'Schedule Engine'!$O:$O,"&gt;="&amp;CS$1)</f>
        <v>0</v>
      </c>
      <c r="CT4" s="0" t="n">
        <f aca="false">COUNTIFS('Schedule Engine'!$G:$G,$A4,'Schedule Engine'!$N:$N,"&lt;="&amp;CT$1,'Schedule Engine'!$O:$O,"&gt;="&amp;CT$1)</f>
        <v>0</v>
      </c>
      <c r="CU4" s="0" t="n">
        <f aca="false">COUNTIFS('Schedule Engine'!$G:$G,$A4,'Schedule Engine'!$N:$N,"&lt;="&amp;CU$1,'Schedule Engine'!$O:$O,"&gt;="&amp;CU$1)</f>
        <v>0</v>
      </c>
      <c r="CV4" s="0" t="n">
        <f aca="false">COUNTIFS('Schedule Engine'!$G:$G,$A4,'Schedule Engine'!$N:$N,"&lt;="&amp;CV$1,'Schedule Engine'!$O:$O,"&gt;="&amp;CV$1)</f>
        <v>0</v>
      </c>
      <c r="CW4" s="0" t="n">
        <f aca="false">COUNTIFS('Schedule Engine'!$G:$G,$A4,'Schedule Engine'!$N:$N,"&lt;="&amp;CW$1,'Schedule Engine'!$O:$O,"&gt;="&amp;CW$1)</f>
        <v>0</v>
      </c>
      <c r="CX4" s="0" t="n">
        <f aca="false">COUNTIFS('Schedule Engine'!$G:$G,$A4,'Schedule Engine'!$N:$N,"&lt;="&amp;CX$1,'Schedule Engine'!$O:$O,"&gt;="&amp;CX$1)</f>
        <v>0</v>
      </c>
      <c r="CY4" s="0" t="n">
        <f aca="false">COUNTIFS('Schedule Engine'!$G:$G,$A4,'Schedule Engine'!$N:$N,"&lt;="&amp;CY$1,'Schedule Engine'!$O:$O,"&gt;="&amp;CY$1)</f>
        <v>0</v>
      </c>
      <c r="CZ4" s="0" t="n">
        <f aca="false">COUNTIFS('Schedule Engine'!$G:$G,$A4,'Schedule Engine'!$N:$N,"&lt;="&amp;CZ$1,'Schedule Engine'!$O:$O,"&gt;="&amp;CZ$1)</f>
        <v>0</v>
      </c>
      <c r="DA4" s="0" t="n">
        <f aca="false">COUNTIFS('Schedule Engine'!$G:$G,$A4,'Schedule Engine'!$N:$N,"&lt;="&amp;DA$1,'Schedule Engine'!$O:$O,"&gt;="&amp;DA$1)</f>
        <v>0</v>
      </c>
      <c r="DB4" s="0" t="n">
        <f aca="false">COUNTIFS('Schedule Engine'!$G:$G,$A4,'Schedule Engine'!$N:$N,"&lt;="&amp;DB$1,'Schedule Engine'!$O:$O,"&gt;="&amp;DB$1)</f>
        <v>0</v>
      </c>
      <c r="DC4" s="0" t="n">
        <f aca="false">COUNTIFS('Schedule Engine'!$G:$G,$A4,'Schedule Engine'!$N:$N,"&lt;="&amp;DC$1,'Schedule Engine'!$O:$O,"&gt;="&amp;DC$1)</f>
        <v>0</v>
      </c>
      <c r="DD4" s="0" t="n">
        <f aca="false">COUNTIFS('Schedule Engine'!$G:$G,$A4,'Schedule Engine'!$N:$N,"&lt;="&amp;DD$1,'Schedule Engine'!$O:$O,"&gt;="&amp;DD$1)</f>
        <v>0</v>
      </c>
      <c r="DE4" s="0" t="n">
        <f aca="false">COUNTIFS('Schedule Engine'!$G:$G,$A4,'Schedule Engine'!$N:$N,"&lt;="&amp;DE$1,'Schedule Engine'!$O:$O,"&gt;="&amp;DE$1)</f>
        <v>0</v>
      </c>
      <c r="DF4" s="0" t="n">
        <f aca="false">COUNTIFS('Schedule Engine'!$G:$G,$A4,'Schedule Engine'!$N:$N,"&lt;="&amp;DF$1,'Schedule Engine'!$O:$O,"&gt;="&amp;DF$1)</f>
        <v>0</v>
      </c>
      <c r="DG4" s="0" t="n">
        <f aca="false">COUNTIFS('Schedule Engine'!$G:$G,$A4,'Schedule Engine'!$N:$N,"&lt;="&amp;DG$1,'Schedule Engine'!$O:$O,"&gt;="&amp;DG$1)</f>
        <v>0</v>
      </c>
      <c r="DH4" s="0" t="n">
        <f aca="false">COUNTIFS('Schedule Engine'!$G:$G,$A4,'Schedule Engine'!$N:$N,"&lt;="&amp;DH$1,'Schedule Engine'!$O:$O,"&gt;="&amp;DH$1)</f>
        <v>0</v>
      </c>
      <c r="DI4" s="0" t="n">
        <f aca="false">COUNTIFS('Schedule Engine'!$G:$G,$A4,'Schedule Engine'!$N:$N,"&lt;="&amp;DI$1,'Schedule Engine'!$O:$O,"&gt;="&amp;DI$1)</f>
        <v>0</v>
      </c>
      <c r="DJ4" s="0" t="n">
        <f aca="false">COUNTIFS('Schedule Engine'!$G:$G,$A4,'Schedule Engine'!$N:$N,"&lt;="&amp;DJ$1,'Schedule Engine'!$O:$O,"&gt;="&amp;DJ$1)</f>
        <v>0</v>
      </c>
      <c r="DK4" s="0" t="n">
        <f aca="false">COUNTIFS('Schedule Engine'!$G:$G,$A4,'Schedule Engine'!$N:$N,"&lt;="&amp;DK$1,'Schedule Engine'!$O:$O,"&gt;="&amp;DK$1)</f>
        <v>0</v>
      </c>
      <c r="DL4" s="0" t="n">
        <f aca="false">COUNTIFS('Schedule Engine'!$G:$G,$A4,'Schedule Engine'!$N:$N,"&lt;="&amp;DL$1,'Schedule Engine'!$O:$O,"&gt;="&amp;DL$1)</f>
        <v>0</v>
      </c>
      <c r="DM4" s="0" t="n">
        <f aca="false">COUNTIFS('Schedule Engine'!$G:$G,$A4,'Schedule Engine'!$N:$N,"&lt;="&amp;DM$1,'Schedule Engine'!$O:$O,"&gt;="&amp;DM$1)</f>
        <v>0</v>
      </c>
      <c r="DN4" s="0" t="n">
        <f aca="false">COUNTIFS('Schedule Engine'!$G:$G,$A4,'Schedule Engine'!$N:$N,"&lt;="&amp;DN$1,'Schedule Engine'!$O:$O,"&gt;="&amp;DN$1)</f>
        <v>0</v>
      </c>
      <c r="DO4" s="0" t="n">
        <f aca="false">COUNTIFS('Schedule Engine'!$G:$G,$A4,'Schedule Engine'!$N:$N,"&lt;="&amp;DO$1,'Schedule Engine'!$O:$O,"&gt;="&amp;DO$1)</f>
        <v>0</v>
      </c>
      <c r="DP4" s="0" t="n">
        <f aca="false">COUNTIFS('Schedule Engine'!$G:$G,$A4,'Schedule Engine'!$N:$N,"&lt;="&amp;DP$1,'Schedule Engine'!$O:$O,"&gt;="&amp;DP$1)</f>
        <v>0</v>
      </c>
      <c r="DQ4" s="0" t="n">
        <f aca="false">COUNTIFS('Schedule Engine'!$G:$G,$A4,'Schedule Engine'!$N:$N,"&lt;="&amp;DQ$1,'Schedule Engine'!$O:$O,"&gt;="&amp;DQ$1)</f>
        <v>0</v>
      </c>
      <c r="DR4" s="0" t="n">
        <f aca="false">COUNTIFS('Schedule Engine'!$G:$G,$A4,'Schedule Engine'!$N:$N,"&lt;="&amp;DR$1,'Schedule Engine'!$O:$O,"&gt;="&amp;DR$1)</f>
        <v>0</v>
      </c>
      <c r="DS4" s="0" t="n">
        <f aca="false">COUNTIFS('Schedule Engine'!$G:$G,$A4,'Schedule Engine'!$N:$N,"&lt;="&amp;DS$1,'Schedule Engine'!$O:$O,"&gt;="&amp;DS$1)</f>
        <v>0</v>
      </c>
      <c r="DT4" s="0" t="n">
        <f aca="false">COUNTIFS('Schedule Engine'!$G:$G,$A4,'Schedule Engine'!$N:$N,"&lt;="&amp;DT$1,'Schedule Engine'!$O:$O,"&gt;="&amp;DT$1)</f>
        <v>0</v>
      </c>
      <c r="DU4" s="0" t="n">
        <f aca="false">COUNTIFS('Schedule Engine'!$G:$G,$A4,'Schedule Engine'!$N:$N,"&lt;="&amp;DU$1,'Schedule Engine'!$O:$O,"&gt;="&amp;DU$1)</f>
        <v>0</v>
      </c>
      <c r="DV4" s="0" t="n">
        <f aca="false">COUNTIFS('Schedule Engine'!$G:$G,$A4,'Schedule Engine'!$N:$N,"&lt;="&amp;DV$1,'Schedule Engine'!$O:$O,"&gt;="&amp;DV$1)</f>
        <v>0</v>
      </c>
      <c r="DW4" s="0" t="n">
        <f aca="false">COUNTIFS('Schedule Engine'!$G:$G,$A4,'Schedule Engine'!$N:$N,"&lt;="&amp;DW$1,'Schedule Engine'!$O:$O,"&gt;="&amp;DW$1)</f>
        <v>0</v>
      </c>
      <c r="DX4" s="0" t="n">
        <f aca="false">COUNTIFS('Schedule Engine'!$G:$G,$A4,'Schedule Engine'!$N:$N,"&lt;="&amp;DX$1,'Schedule Engine'!$O:$O,"&gt;="&amp;DX$1)</f>
        <v>0</v>
      </c>
      <c r="DY4" s="0" t="n">
        <f aca="false">COUNTIFS('Schedule Engine'!$G:$G,$A4,'Schedule Engine'!$N:$N,"&lt;="&amp;DY$1,'Schedule Engine'!$O:$O,"&gt;="&amp;DY$1)</f>
        <v>0</v>
      </c>
      <c r="DZ4" s="0" t="n">
        <f aca="false">COUNTIFS('Schedule Engine'!$G:$G,$A4,'Schedule Engine'!$N:$N,"&lt;="&amp;DZ$1,'Schedule Engine'!$O:$O,"&gt;="&amp;DZ$1)</f>
        <v>0</v>
      </c>
      <c r="EA4" s="0" t="n">
        <f aca="false">COUNTIFS('Schedule Engine'!$G:$G,$A4,'Schedule Engine'!$N:$N,"&lt;="&amp;EA$1,'Schedule Engine'!$O:$O,"&gt;="&amp;EA$1)</f>
        <v>0</v>
      </c>
      <c r="EB4" s="0" t="n">
        <f aca="false">COUNTIFS('Schedule Engine'!$G:$G,$A4,'Schedule Engine'!$N:$N,"&lt;="&amp;EB$1,'Schedule Engine'!$O:$O,"&gt;="&amp;EB$1)</f>
        <v>0</v>
      </c>
      <c r="EC4" s="0" t="n">
        <f aca="false">COUNTIFS('Schedule Engine'!$G:$G,$A4,'Schedule Engine'!$N:$N,"&lt;="&amp;EC$1,'Schedule Engine'!$O:$O,"&gt;="&amp;EC$1)</f>
        <v>0</v>
      </c>
      <c r="ED4" s="0" t="n">
        <f aca="false">COUNTIFS('Schedule Engine'!$G:$G,$A4,'Schedule Engine'!$N:$N,"&lt;="&amp;ED$1,'Schedule Engine'!$O:$O,"&gt;="&amp;ED$1)</f>
        <v>0</v>
      </c>
      <c r="EE4" s="0" t="n">
        <f aca="false">COUNTIFS('Schedule Engine'!$G:$G,$A4,'Schedule Engine'!$N:$N,"&lt;="&amp;EE$1,'Schedule Engine'!$O:$O,"&gt;="&amp;EE$1)</f>
        <v>0</v>
      </c>
      <c r="EF4" s="0" t="n">
        <f aca="false">COUNTIFS('Schedule Engine'!$G:$G,$A4,'Schedule Engine'!$N:$N,"&lt;="&amp;EF$1,'Schedule Engine'!$O:$O,"&gt;="&amp;EF$1)</f>
        <v>0</v>
      </c>
      <c r="EG4" s="0" t="n">
        <f aca="false">COUNTIFS('Schedule Engine'!$G:$G,$A4,'Schedule Engine'!$N:$N,"&lt;="&amp;EG$1,'Schedule Engine'!$O:$O,"&gt;="&amp;EG$1)</f>
        <v>1</v>
      </c>
      <c r="EH4" s="0" t="n">
        <f aca="false">COUNTIFS('Schedule Engine'!$G:$G,$A4,'Schedule Engine'!$N:$N,"&lt;="&amp;EH$1,'Schedule Engine'!$O:$O,"&gt;="&amp;EH$1)</f>
        <v>1</v>
      </c>
      <c r="EI4" s="0" t="n">
        <f aca="false">COUNTIFS('Schedule Engine'!$G:$G,$A4,'Schedule Engine'!$N:$N,"&lt;="&amp;EI$1,'Schedule Engine'!$O:$O,"&gt;="&amp;EI$1)</f>
        <v>0</v>
      </c>
      <c r="EJ4" s="0" t="n">
        <f aca="false">COUNTIFS('Schedule Engine'!$G:$G,$A4,'Schedule Engine'!$N:$N,"&lt;="&amp;EJ$1,'Schedule Engine'!$O:$O,"&gt;="&amp;EJ$1)</f>
        <v>0</v>
      </c>
      <c r="EK4" s="0" t="n">
        <f aca="false">COUNTIFS('Schedule Engine'!$G:$G,$A4,'Schedule Engine'!$N:$N,"&lt;="&amp;EK$1,'Schedule Engine'!$O:$O,"&gt;="&amp;EK$1)</f>
        <v>0</v>
      </c>
      <c r="EL4" s="0" t="n">
        <f aca="false">COUNTIFS('Schedule Engine'!$G:$G,$A4,'Schedule Engine'!$N:$N,"&lt;="&amp;EL$1,'Schedule Engine'!$O:$O,"&gt;="&amp;EL$1)</f>
        <v>0</v>
      </c>
      <c r="EM4" s="0" t="n">
        <f aca="false">COUNTIFS('Schedule Engine'!$G:$G,$A4,'Schedule Engine'!$N:$N,"&lt;="&amp;EM$1,'Schedule Engine'!$O:$O,"&gt;="&amp;EM$1)</f>
        <v>0</v>
      </c>
      <c r="EN4" s="0" t="n">
        <f aca="false">COUNTIFS('Schedule Engine'!$G:$G,$A4,'Schedule Engine'!$N:$N,"&lt;="&amp;EN$1,'Schedule Engine'!$O:$O,"&gt;="&amp;EN$1)</f>
        <v>0</v>
      </c>
      <c r="EO4" s="0" t="n">
        <f aca="false">COUNTIFS('Schedule Engine'!$G:$G,$A4,'Schedule Engine'!$N:$N,"&lt;="&amp;EO$1,'Schedule Engine'!$O:$O,"&gt;="&amp;EO$1)</f>
        <v>0</v>
      </c>
      <c r="EP4" s="0" t="n">
        <f aca="false">COUNTIFS('Schedule Engine'!$G:$G,$A4,'Schedule Engine'!$N:$N,"&lt;="&amp;EP$1,'Schedule Engine'!$O:$O,"&gt;="&amp;EP$1)</f>
        <v>0</v>
      </c>
      <c r="EQ4" s="0" t="n">
        <f aca="false">COUNTIFS('Schedule Engine'!$G:$G,$A4,'Schedule Engine'!$N:$N,"&lt;="&amp;EQ$1,'Schedule Engine'!$O:$O,"&gt;="&amp;EQ$1)</f>
        <v>0</v>
      </c>
      <c r="ER4" s="0" t="n">
        <f aca="false">COUNTIFS('Schedule Engine'!$G:$G,$A4,'Schedule Engine'!$N:$N,"&lt;="&amp;ER$1,'Schedule Engine'!$O:$O,"&gt;="&amp;ER$1)</f>
        <v>0</v>
      </c>
      <c r="ES4" s="0" t="n">
        <f aca="false">COUNTIFS('Schedule Engine'!$G:$G,$A4,'Schedule Engine'!$N:$N,"&lt;="&amp;ES$1,'Schedule Engine'!$O:$O,"&gt;="&amp;ES$1)</f>
        <v>0</v>
      </c>
      <c r="ET4" s="0" t="n">
        <f aca="false">COUNTIFS('Schedule Engine'!$G:$G,$A4,'Schedule Engine'!$N:$N,"&lt;="&amp;ET$1,'Schedule Engine'!$O:$O,"&gt;="&amp;ET$1)</f>
        <v>0</v>
      </c>
      <c r="EU4" s="0" t="n">
        <f aca="false">COUNTIFS('Schedule Engine'!$G:$G,$A4,'Schedule Engine'!$N:$N,"&lt;="&amp;EU$1,'Schedule Engine'!$O:$O,"&gt;="&amp;EU$1)</f>
        <v>0</v>
      </c>
      <c r="EV4" s="0" t="n">
        <f aca="false">COUNTIFS('Schedule Engine'!$G:$G,$A4,'Schedule Engine'!$N:$N,"&lt;="&amp;EV$1,'Schedule Engine'!$O:$O,"&gt;="&amp;EV$1)</f>
        <v>1</v>
      </c>
      <c r="EW4" s="0" t="n">
        <f aca="false">COUNTIFS('Schedule Engine'!$G:$G,$A4,'Schedule Engine'!$N:$N,"&lt;="&amp;EW$1,'Schedule Engine'!$O:$O,"&gt;="&amp;EW$1)</f>
        <v>1</v>
      </c>
      <c r="EX4" s="0" t="n">
        <f aca="false">COUNTIFS('Schedule Engine'!$G:$G,$A4,'Schedule Engine'!$N:$N,"&lt;="&amp;EX$1,'Schedule Engine'!$O:$O,"&gt;="&amp;EX$1)</f>
        <v>1</v>
      </c>
      <c r="EY4" s="0" t="n">
        <f aca="false">COUNTIFS('Schedule Engine'!$G:$G,$A4,'Schedule Engine'!$N:$N,"&lt;="&amp;EY$1,'Schedule Engine'!$O:$O,"&gt;="&amp;EY$1)</f>
        <v>1</v>
      </c>
      <c r="EZ4" s="0" t="n">
        <f aca="false">COUNTIFS('Schedule Engine'!$G:$G,$A4,'Schedule Engine'!$N:$N,"&lt;="&amp;EZ$1,'Schedule Engine'!$O:$O,"&gt;="&amp;EZ$1)</f>
        <v>1</v>
      </c>
      <c r="FA4" s="0" t="n">
        <f aca="false">COUNTIFS('Schedule Engine'!$G:$G,$A4,'Schedule Engine'!$N:$N,"&lt;="&amp;FA$1,'Schedule Engine'!$O:$O,"&gt;="&amp;FA$1)</f>
        <v>1</v>
      </c>
      <c r="FB4" s="0" t="n">
        <f aca="false">COUNTIFS('Schedule Engine'!$G:$G,$A4,'Schedule Engine'!$N:$N,"&lt;="&amp;FB$1,'Schedule Engine'!$O:$O,"&gt;="&amp;FB$1)</f>
        <v>2</v>
      </c>
      <c r="FC4" s="0" t="n">
        <f aca="false">COUNTIFS('Schedule Engine'!$G:$G,$A4,'Schedule Engine'!$N:$N,"&lt;="&amp;FC$1,'Schedule Engine'!$O:$O,"&gt;="&amp;FC$1)</f>
        <v>2</v>
      </c>
      <c r="FD4" s="0" t="n">
        <f aca="false">COUNTIFS('Schedule Engine'!$G:$G,$A4,'Schedule Engine'!$N:$N,"&lt;="&amp;FD$1,'Schedule Engine'!$O:$O,"&gt;="&amp;FD$1)</f>
        <v>1</v>
      </c>
      <c r="FE4" s="0" t="n">
        <f aca="false">COUNTIFS('Schedule Engine'!$G:$G,$A4,'Schedule Engine'!$N:$N,"&lt;="&amp;FE$1,'Schedule Engine'!$O:$O,"&gt;="&amp;FE$1)</f>
        <v>1</v>
      </c>
      <c r="FF4" s="0" t="n">
        <f aca="false">COUNTIFS('Schedule Engine'!$G:$G,$A4,'Schedule Engine'!$N:$N,"&lt;="&amp;FF$1,'Schedule Engine'!$O:$O,"&gt;="&amp;FF$1)</f>
        <v>1</v>
      </c>
      <c r="FG4" s="0" t="n">
        <f aca="false">COUNTIFS('Schedule Engine'!$G:$G,$A4,'Schedule Engine'!$N:$N,"&lt;="&amp;FG$1,'Schedule Engine'!$O:$O,"&gt;="&amp;FG$1)</f>
        <v>1</v>
      </c>
      <c r="FH4" s="0" t="n">
        <f aca="false">COUNTIFS('Schedule Engine'!$G:$G,$A4,'Schedule Engine'!$N:$N,"&lt;="&amp;FH$1,'Schedule Engine'!$O:$O,"&gt;="&amp;FH$1)</f>
        <v>1</v>
      </c>
      <c r="FI4" s="0" t="n">
        <f aca="false">COUNTIFS('Schedule Engine'!$G:$G,$A4,'Schedule Engine'!$N:$N,"&lt;="&amp;FI$1,'Schedule Engine'!$O:$O,"&gt;="&amp;FI$1)</f>
        <v>1</v>
      </c>
      <c r="FJ4" s="0" t="n">
        <f aca="false">COUNTIFS('Schedule Engine'!$G:$G,$A4,'Schedule Engine'!$N:$N,"&lt;="&amp;FJ$1,'Schedule Engine'!$O:$O,"&gt;="&amp;FJ$1)</f>
        <v>1</v>
      </c>
      <c r="FK4" s="0" t="n">
        <f aca="false">COUNTIFS('Schedule Engine'!$G:$G,$A4,'Schedule Engine'!$N:$N,"&lt;="&amp;FK$1,'Schedule Engine'!$O:$O,"&gt;="&amp;FK$1)</f>
        <v>1</v>
      </c>
      <c r="FL4" s="0" t="n">
        <f aca="false">COUNTIFS('Schedule Engine'!$G:$G,$A4,'Schedule Engine'!$N:$N,"&lt;="&amp;FL$1,'Schedule Engine'!$O:$O,"&gt;="&amp;FL$1)</f>
        <v>1</v>
      </c>
      <c r="FM4" s="0" t="n">
        <f aca="false">COUNTIFS('Schedule Engine'!$G:$G,$A4,'Schedule Engine'!$N:$N,"&lt;="&amp;FM$1,'Schedule Engine'!$O:$O,"&gt;="&amp;FM$1)</f>
        <v>1</v>
      </c>
      <c r="FN4" s="0" t="n">
        <f aca="false">COUNTIFS('Schedule Engine'!$G:$G,$A4,'Schedule Engine'!$N:$N,"&lt;="&amp;FN$1,'Schedule Engine'!$O:$O,"&gt;="&amp;FN$1)</f>
        <v>1</v>
      </c>
      <c r="FO4" s="0" t="n">
        <f aca="false">COUNTIFS('Schedule Engine'!$G:$G,$A4,'Schedule Engine'!$N:$N,"&lt;="&amp;FO$1,'Schedule Engine'!$O:$O,"&gt;="&amp;FO$1)</f>
        <v>1</v>
      </c>
      <c r="FP4" s="0" t="n">
        <f aca="false">COUNTIFS('Schedule Engine'!$G:$G,$A4,'Schedule Engine'!$N:$N,"&lt;="&amp;FP$1,'Schedule Engine'!$O:$O,"&gt;="&amp;FP$1)</f>
        <v>1</v>
      </c>
      <c r="FQ4" s="0" t="n">
        <f aca="false">COUNTIFS('Schedule Engine'!$G:$G,$A4,'Schedule Engine'!$N:$N,"&lt;="&amp;FQ$1,'Schedule Engine'!$O:$O,"&gt;="&amp;FQ$1)</f>
        <v>2</v>
      </c>
      <c r="FR4" s="0" t="n">
        <f aca="false">COUNTIFS('Schedule Engine'!$G:$G,$A4,'Schedule Engine'!$N:$N,"&lt;="&amp;FR$1,'Schedule Engine'!$O:$O,"&gt;="&amp;FR$1)</f>
        <v>2</v>
      </c>
      <c r="FS4" s="0" t="n">
        <f aca="false">COUNTIFS('Schedule Engine'!$G:$G,$A4,'Schedule Engine'!$N:$N,"&lt;="&amp;FS$1,'Schedule Engine'!$O:$O,"&gt;="&amp;FS$1)</f>
        <v>2</v>
      </c>
      <c r="FT4" s="0" t="n">
        <f aca="false">COUNTIFS('Schedule Engine'!$G:$G,$A4,'Schedule Engine'!$N:$N,"&lt;="&amp;FT$1,'Schedule Engine'!$O:$O,"&gt;="&amp;FT$1)</f>
        <v>2</v>
      </c>
      <c r="FU4" s="0" t="n">
        <f aca="false">COUNTIFS('Schedule Engine'!$G:$G,$A4,'Schedule Engine'!$N:$N,"&lt;="&amp;FU$1,'Schedule Engine'!$O:$O,"&gt;="&amp;FU$1)</f>
        <v>2</v>
      </c>
      <c r="FV4" s="0" t="n">
        <f aca="false">COUNTIFS('Schedule Engine'!$G:$G,$A4,'Schedule Engine'!$N:$N,"&lt;="&amp;FV$1,'Schedule Engine'!$O:$O,"&gt;="&amp;FV$1)</f>
        <v>2</v>
      </c>
      <c r="FW4" s="0" t="n">
        <f aca="false">COUNTIFS('Schedule Engine'!$G:$G,$A4,'Schedule Engine'!$N:$N,"&lt;="&amp;FW$1,'Schedule Engine'!$O:$O,"&gt;="&amp;FW$1)</f>
        <v>3</v>
      </c>
      <c r="FX4" s="0" t="n">
        <f aca="false">COUNTIFS('Schedule Engine'!$G:$G,$A4,'Schedule Engine'!$N:$N,"&lt;="&amp;FX$1,'Schedule Engine'!$O:$O,"&gt;="&amp;FX$1)</f>
        <v>2</v>
      </c>
      <c r="FY4" s="0" t="n">
        <f aca="false">COUNTIFS('Schedule Engine'!$G:$G,$A4,'Schedule Engine'!$N:$N,"&lt;="&amp;FY$1,'Schedule Engine'!$O:$O,"&gt;="&amp;FY$1)</f>
        <v>1</v>
      </c>
      <c r="FZ4" s="0" t="n">
        <f aca="false">COUNTIFS('Schedule Engine'!$G:$G,$A4,'Schedule Engine'!$N:$N,"&lt;="&amp;FZ$1,'Schedule Engine'!$O:$O,"&gt;="&amp;FZ$1)</f>
        <v>1</v>
      </c>
      <c r="GA4" s="0" t="n">
        <f aca="false">COUNTIFS('Schedule Engine'!$G:$G,$A4,'Schedule Engine'!$N:$N,"&lt;="&amp;GA$1,'Schedule Engine'!$O:$O,"&gt;="&amp;GA$1)</f>
        <v>1</v>
      </c>
      <c r="GB4" s="0" t="n">
        <f aca="false">COUNTIFS('Schedule Engine'!$G:$G,$A4,'Schedule Engine'!$N:$N,"&lt;="&amp;GB$1,'Schedule Engine'!$O:$O,"&gt;="&amp;GB$1)</f>
        <v>1</v>
      </c>
      <c r="GC4" s="0" t="n">
        <f aca="false">COUNTIFS('Schedule Engine'!$G:$G,$A4,'Schedule Engine'!$N:$N,"&lt;="&amp;GC$1,'Schedule Engine'!$O:$O,"&gt;="&amp;GC$1)</f>
        <v>1</v>
      </c>
      <c r="GD4" s="0" t="n">
        <f aca="false">COUNTIFS('Schedule Engine'!$G:$G,$A4,'Schedule Engine'!$N:$N,"&lt;="&amp;GD$1,'Schedule Engine'!$O:$O,"&gt;="&amp;GD$1)</f>
        <v>1</v>
      </c>
      <c r="GE4" s="0" t="n">
        <f aca="false">COUNTIFS('Schedule Engine'!$G:$G,$A4,'Schedule Engine'!$N:$N,"&lt;="&amp;GE$1,'Schedule Engine'!$O:$O,"&gt;="&amp;GE$1)</f>
        <v>1</v>
      </c>
      <c r="GF4" s="0" t="n">
        <f aca="false">COUNTIFS('Schedule Engine'!$G:$G,$A4,'Schedule Engine'!$N:$N,"&lt;="&amp;GF$1,'Schedule Engine'!$O:$O,"&gt;="&amp;GF$1)</f>
        <v>1</v>
      </c>
      <c r="GG4" s="0" t="n">
        <f aca="false">COUNTIFS('Schedule Engine'!$G:$G,$A4,'Schedule Engine'!$N:$N,"&lt;="&amp;GG$1,'Schedule Engine'!$O:$O,"&gt;="&amp;GG$1)</f>
        <v>1</v>
      </c>
      <c r="GH4" s="0" t="n">
        <f aca="false">COUNTIFS('Schedule Engine'!$G:$G,$A4,'Schedule Engine'!$N:$N,"&lt;="&amp;GH$1,'Schedule Engine'!$O:$O,"&gt;="&amp;GH$1)</f>
        <v>1</v>
      </c>
      <c r="GI4" s="0" t="n">
        <f aca="false">COUNTIFS('Schedule Engine'!$G:$G,$A4,'Schedule Engine'!$N:$N,"&lt;="&amp;GI$1,'Schedule Engine'!$O:$O,"&gt;="&amp;GI$1)</f>
        <v>1</v>
      </c>
      <c r="GJ4" s="0" t="n">
        <f aca="false">COUNTIFS('Schedule Engine'!$G:$G,$A4,'Schedule Engine'!$N:$N,"&lt;="&amp;GJ$1,'Schedule Engine'!$O:$O,"&gt;="&amp;GJ$1)</f>
        <v>1</v>
      </c>
      <c r="GK4" s="0" t="n">
        <f aca="false">COUNTIFS('Schedule Engine'!$G:$G,$A4,'Schedule Engine'!$N:$N,"&lt;="&amp;GK$1,'Schedule Engine'!$O:$O,"&gt;="&amp;GK$1)</f>
        <v>1</v>
      </c>
      <c r="GL4" s="0" t="n">
        <f aca="false">COUNTIFS('Schedule Engine'!$G:$G,$A4,'Schedule Engine'!$N:$N,"&lt;="&amp;GL$1,'Schedule Engine'!$O:$O,"&gt;="&amp;GL$1)</f>
        <v>2</v>
      </c>
      <c r="GM4" s="0" t="n">
        <f aca="false">COUNTIFS('Schedule Engine'!$G:$G,$A4,'Schedule Engine'!$N:$N,"&lt;="&amp;GM$1,'Schedule Engine'!$O:$O,"&gt;="&amp;GM$1)</f>
        <v>2</v>
      </c>
      <c r="GN4" s="0" t="n">
        <f aca="false">COUNTIFS('Schedule Engine'!$G:$G,$A4,'Schedule Engine'!$N:$N,"&lt;="&amp;GN$1,'Schedule Engine'!$O:$O,"&gt;="&amp;GN$1)</f>
        <v>2</v>
      </c>
      <c r="GO4" s="0" t="n">
        <f aca="false">COUNTIFS('Schedule Engine'!$G:$G,$A4,'Schedule Engine'!$N:$N,"&lt;="&amp;GO$1,'Schedule Engine'!$O:$O,"&gt;="&amp;GO$1)</f>
        <v>2</v>
      </c>
      <c r="GP4" s="0" t="n">
        <f aca="false">COUNTIFS('Schedule Engine'!$G:$G,$A4,'Schedule Engine'!$N:$N,"&lt;="&amp;GP$1,'Schedule Engine'!$O:$O,"&gt;="&amp;GP$1)</f>
        <v>2</v>
      </c>
      <c r="GQ4" s="0" t="n">
        <f aca="false">COUNTIFS('Schedule Engine'!$G:$G,$A4,'Schedule Engine'!$N:$N,"&lt;="&amp;GQ$1,'Schedule Engine'!$O:$O,"&gt;="&amp;GQ$1)</f>
        <v>2</v>
      </c>
      <c r="GR4" s="0" t="n">
        <f aca="false">COUNTIFS('Schedule Engine'!$G:$G,$A4,'Schedule Engine'!$N:$N,"&lt;="&amp;GR$1,'Schedule Engine'!$O:$O,"&gt;="&amp;GR$1)</f>
        <v>3</v>
      </c>
      <c r="GS4" s="0" t="n">
        <f aca="false">COUNTIFS('Schedule Engine'!$G:$G,$A4,'Schedule Engine'!$N:$N,"&lt;="&amp;GS$1,'Schedule Engine'!$O:$O,"&gt;="&amp;GS$1)</f>
        <v>2</v>
      </c>
      <c r="GT4" s="0" t="n">
        <f aca="false">COUNTIFS('Schedule Engine'!$G:$G,$A4,'Schedule Engine'!$N:$N,"&lt;="&amp;GT$1,'Schedule Engine'!$O:$O,"&gt;="&amp;GT$1)</f>
        <v>1</v>
      </c>
      <c r="GU4" s="0" t="n">
        <f aca="false">COUNTIFS('Schedule Engine'!$G:$G,$A4,'Schedule Engine'!$N:$N,"&lt;="&amp;GU$1,'Schedule Engine'!$O:$O,"&gt;="&amp;GU$1)</f>
        <v>1</v>
      </c>
      <c r="GV4" s="0" t="n">
        <f aca="false">COUNTIFS('Schedule Engine'!$G:$G,$A4,'Schedule Engine'!$N:$N,"&lt;="&amp;GV$1,'Schedule Engine'!$O:$O,"&gt;="&amp;GV$1)</f>
        <v>1</v>
      </c>
      <c r="GW4" s="0" t="n">
        <f aca="false">COUNTIFS('Schedule Engine'!$G:$G,$A4,'Schedule Engine'!$N:$N,"&lt;="&amp;GW$1,'Schedule Engine'!$O:$O,"&gt;="&amp;GW$1)</f>
        <v>1</v>
      </c>
      <c r="GX4" s="0" t="n">
        <f aca="false">COUNTIFS('Schedule Engine'!$G:$G,$A4,'Schedule Engine'!$N:$N,"&lt;="&amp;GX$1,'Schedule Engine'!$O:$O,"&gt;="&amp;GX$1)</f>
        <v>1</v>
      </c>
      <c r="GY4" s="0" t="n">
        <f aca="false">COUNTIFS('Schedule Engine'!$G:$G,$A4,'Schedule Engine'!$N:$N,"&lt;="&amp;GY$1,'Schedule Engine'!$O:$O,"&gt;="&amp;GY$1)</f>
        <v>1</v>
      </c>
      <c r="GZ4" s="0" t="n">
        <f aca="false">COUNTIFS('Schedule Engine'!$G:$G,$A4,'Schedule Engine'!$N:$N,"&lt;="&amp;GZ$1,'Schedule Engine'!$O:$O,"&gt;="&amp;GZ$1)</f>
        <v>1</v>
      </c>
      <c r="HA4" s="0" t="n">
        <f aca="false">COUNTIFS('Schedule Engine'!$G:$G,$A4,'Schedule Engine'!$N:$N,"&lt;="&amp;HA$1,'Schedule Engine'!$O:$O,"&gt;="&amp;HA$1)</f>
        <v>1</v>
      </c>
      <c r="HB4" s="0" t="n">
        <f aca="false">COUNTIFS('Schedule Engine'!$G:$G,$A4,'Schedule Engine'!$N:$N,"&lt;="&amp;HB$1,'Schedule Engine'!$O:$O,"&gt;="&amp;HB$1)</f>
        <v>1</v>
      </c>
      <c r="HC4" s="0" t="n">
        <f aca="false">COUNTIFS('Schedule Engine'!$G:$G,$A4,'Schedule Engine'!$N:$N,"&lt;="&amp;HC$1,'Schedule Engine'!$O:$O,"&gt;="&amp;HC$1)</f>
        <v>1</v>
      </c>
      <c r="HD4" s="0" t="n">
        <f aca="false">COUNTIFS('Schedule Engine'!$G:$G,$A4,'Schedule Engine'!$N:$N,"&lt;="&amp;HD$1,'Schedule Engine'!$O:$O,"&gt;="&amp;HD$1)</f>
        <v>1</v>
      </c>
      <c r="HE4" s="0" t="n">
        <f aca="false">COUNTIFS('Schedule Engine'!$G:$G,$A4,'Schedule Engine'!$N:$N,"&lt;="&amp;HE$1,'Schedule Engine'!$O:$O,"&gt;="&amp;HE$1)</f>
        <v>1</v>
      </c>
      <c r="HF4" s="0" t="n">
        <f aca="false">COUNTIFS('Schedule Engine'!$G:$G,$A4,'Schedule Engine'!$N:$N,"&lt;="&amp;HF$1,'Schedule Engine'!$O:$O,"&gt;="&amp;HF$1)</f>
        <v>1</v>
      </c>
      <c r="HG4" s="0" t="n">
        <f aca="false">COUNTIFS('Schedule Engine'!$G:$G,$A4,'Schedule Engine'!$N:$N,"&lt;="&amp;HG$1,'Schedule Engine'!$O:$O,"&gt;="&amp;HG$1)</f>
        <v>2</v>
      </c>
      <c r="HH4" s="0" t="n">
        <f aca="false">COUNTIFS('Schedule Engine'!$G:$G,$A4,'Schedule Engine'!$N:$N,"&lt;="&amp;HH$1,'Schedule Engine'!$O:$O,"&gt;="&amp;HH$1)</f>
        <v>2</v>
      </c>
      <c r="HI4" s="0" t="n">
        <f aca="false">COUNTIFS('Schedule Engine'!$G:$G,$A4,'Schedule Engine'!$N:$N,"&lt;="&amp;HI$1,'Schedule Engine'!$O:$O,"&gt;="&amp;HI$1)</f>
        <v>2</v>
      </c>
      <c r="HJ4" s="0" t="n">
        <f aca="false">COUNTIFS('Schedule Engine'!$G:$G,$A4,'Schedule Engine'!$N:$N,"&lt;="&amp;HJ$1,'Schedule Engine'!$O:$O,"&gt;="&amp;HJ$1)</f>
        <v>2</v>
      </c>
      <c r="HK4" s="0" t="n">
        <f aca="false">COUNTIFS('Schedule Engine'!$G:$G,$A4,'Schedule Engine'!$N:$N,"&lt;="&amp;HK$1,'Schedule Engine'!$O:$O,"&gt;="&amp;HK$1)</f>
        <v>2</v>
      </c>
      <c r="HL4" s="0" t="n">
        <f aca="false">COUNTIFS('Schedule Engine'!$G:$G,$A4,'Schedule Engine'!$N:$N,"&lt;="&amp;HL$1,'Schedule Engine'!$O:$O,"&gt;="&amp;HL$1)</f>
        <v>2</v>
      </c>
      <c r="HM4" s="0" t="n">
        <f aca="false">COUNTIFS('Schedule Engine'!$G:$G,$A4,'Schedule Engine'!$N:$N,"&lt;="&amp;HM$1,'Schedule Engine'!$O:$O,"&gt;="&amp;HM$1)</f>
        <v>3</v>
      </c>
      <c r="HN4" s="0" t="n">
        <f aca="false">COUNTIFS('Schedule Engine'!$G:$G,$A4,'Schedule Engine'!$N:$N,"&lt;="&amp;HN$1,'Schedule Engine'!$O:$O,"&gt;="&amp;HN$1)</f>
        <v>2</v>
      </c>
    </row>
  </sheetData>
  <conditionalFormatting sqref="C2:HN2">
    <cfRule type="cellIs" priority="2" operator="greaterThan" aboveAverage="0" equalAverage="0" bottom="0" percent="0" rank="0" text="" dxfId="26">
      <formula>$B2</formula>
    </cfRule>
    <cfRule type="cellIs" priority="3" operator="equal" aboveAverage="0" equalAverage="0" bottom="0" percent="0" rank="0" text="" dxfId="30">
      <formula>0</formula>
    </cfRule>
    <cfRule type="cellIs" priority="4" operator="equal" aboveAverage="0" equalAverage="0" bottom="0" percent="0" rank="0" text="" dxfId="31">
      <formula>1</formula>
    </cfRule>
  </conditionalFormatting>
  <conditionalFormatting sqref="C3:HN3">
    <cfRule type="cellIs" priority="5" operator="greaterThan" aboveAverage="0" equalAverage="0" bottom="0" percent="0" rank="0" text="" dxfId="26">
      <formula>$B3</formula>
    </cfRule>
    <cfRule type="cellIs" priority="6" operator="equal" aboveAverage="0" equalAverage="0" bottom="0" percent="0" rank="0" text="" dxfId="30">
      <formula>0</formula>
    </cfRule>
    <cfRule type="cellIs" priority="7" operator="equal" aboveAverage="0" equalAverage="0" bottom="0" percent="0" rank="0" text="" dxfId="31">
      <formula>1</formula>
    </cfRule>
  </conditionalFormatting>
  <conditionalFormatting sqref="C4:HN4">
    <cfRule type="cellIs" priority="8" operator="greaterThan" aboveAverage="0" equalAverage="0" bottom="0" percent="0" rank="0" text="" dxfId="26">
      <formula>$B4</formula>
    </cfRule>
    <cfRule type="cellIs" priority="9" operator="equal" aboveAverage="0" equalAverage="0" bottom="0" percent="0" rank="0" text="" dxfId="30">
      <formula>0</formula>
    </cfRule>
    <cfRule type="cellIs" priority="10" operator="equal" aboveAverage="0" equalAverage="0" bottom="0" percent="0" rank="0" text="" dxfId="3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2026-04-02T13:08:36Z</dcterms:created>
  <dc:creator>Chad Willett</dc:creator>
  <dc:description/>
  <dc:language>en-US</dc:language>
  <cp:lastModifiedBy>Chad Willett</cp:lastModifiedBy>
  <dcterms:modified xsi:type="dcterms:W3CDTF">2026-04-09T21:35:41Z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