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scw\OneDrive\"/>
    </mc:Choice>
  </mc:AlternateContent>
  <xr:revisionPtr revIDLastSave="0" documentId="13_ncr:1_{379281F1-56A8-49FF-ABEE-84BE28AFD9AA}" xr6:coauthVersionLast="47" xr6:coauthVersionMax="47" xr10:uidLastSave="{00000000-0000-0000-0000-000000000000}"/>
  <bookViews>
    <workbookView xWindow="-108" yWindow="-108" windowWidth="23256" windowHeight="13896" activeTab="1" xr2:uid="{395446CB-F28D-4DF4-BD65-3901A1D13205}"/>
  </bookViews>
  <sheets>
    <sheet name="KEY" sheetId="1" r:id="rId1"/>
    <sheet name="Gan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 a="1"/>
  <c r="B11" i="2" s="1"/>
  <c r="B10" i="2" a="1"/>
  <c r="B10" i="2" s="1"/>
  <c r="F4" i="2"/>
  <c r="D5" i="2" s="1"/>
  <c r="F5" i="2" s="1"/>
  <c r="D6" i="2" s="1"/>
  <c r="F6" i="2" s="1"/>
  <c r="D7" i="2" s="1"/>
  <c r="F7" i="2" s="1"/>
  <c r="D8" i="2" s="1"/>
  <c r="F8" i="2" s="1"/>
  <c r="B45" i="2" a="1"/>
  <c r="B45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6" i="2" a="1"/>
  <c r="B46" i="2" s="1"/>
  <c r="B47" i="2" a="1"/>
  <c r="B47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4" i="2" a="1"/>
  <c r="B4" i="2" s="1"/>
  <c r="D10" i="2" l="1"/>
  <c r="F10" i="2" s="1"/>
  <c r="D11" i="2" s="1"/>
  <c r="F11" i="2" s="1"/>
  <c r="D9" i="2"/>
  <c r="F9" i="2" s="1"/>
  <c r="D14" i="2" l="1"/>
  <c r="F14" i="2" s="1"/>
  <c r="D12" i="2"/>
  <c r="F12" i="2" s="1"/>
  <c r="D13" i="2"/>
  <c r="F13" i="2" s="1"/>
  <c r="D15" i="2" s="1"/>
  <c r="F15" i="2" s="1"/>
  <c r="D16" i="2" s="1"/>
  <c r="F16" i="2" s="1"/>
  <c r="D27" i="2" l="1"/>
  <c r="F27" i="2" s="1"/>
  <c r="D28" i="2"/>
  <c r="F28" i="2" s="1"/>
  <c r="D17" i="2"/>
  <c r="F17" i="2" s="1"/>
  <c r="D29" i="2"/>
  <c r="F29" i="2" s="1"/>
  <c r="D30" i="2" s="1"/>
  <c r="F30" i="2" s="1"/>
  <c r="D31" i="2" s="1"/>
  <c r="F31" i="2" s="1"/>
  <c r="D32" i="2" s="1"/>
  <c r="F32" i="2" s="1"/>
  <c r="D18" i="2"/>
  <c r="F18" i="2" s="1"/>
  <c r="D21" i="2" s="1"/>
  <c r="F21" i="2" s="1"/>
  <c r="D19" i="2"/>
  <c r="F19" i="2" s="1"/>
  <c r="D20" i="2"/>
  <c r="F20" i="2" s="1"/>
  <c r="D37" i="2" s="1"/>
  <c r="F37" i="2" s="1"/>
  <c r="D26" i="2" l="1"/>
  <c r="F26" i="2" s="1"/>
  <c r="D22" i="2"/>
  <c r="F22" i="2" s="1"/>
  <c r="D33" i="2"/>
  <c r="F33" i="2" s="1"/>
  <c r="D35" i="2"/>
  <c r="F35" i="2" s="1"/>
  <c r="D34" i="2"/>
  <c r="F34" i="2" s="1"/>
  <c r="D38" i="2" l="1"/>
  <c r="F38" i="2" s="1"/>
  <c r="D36" i="2"/>
  <c r="F36" i="2" s="1"/>
  <c r="D23" i="2"/>
  <c r="F23" i="2" s="1"/>
  <c r="D25" i="2" s="1"/>
  <c r="F25" i="2" s="1"/>
  <c r="D24" i="2"/>
  <c r="F24" i="2" s="1"/>
  <c r="D39" i="2" l="1"/>
  <c r="F39" i="2" s="1"/>
  <c r="D41" i="2" s="1"/>
  <c r="F41" i="2" s="1"/>
  <c r="D43" i="2" l="1"/>
  <c r="F43" i="2" s="1"/>
  <c r="D40" i="2"/>
  <c r="F40" i="2" s="1"/>
  <c r="D42" i="2" s="1"/>
  <c r="F42" i="2" s="1"/>
  <c r="D44" i="2" l="1"/>
  <c r="F44" i="2" s="1"/>
  <c r="D46" i="2" s="1"/>
  <c r="F46" i="2" s="1"/>
  <c r="D47" i="2" s="1"/>
  <c r="F47" i="2" s="1"/>
  <c r="E50" i="2" l="1"/>
  <c r="E51" i="2" s="1"/>
  <c r="E49" i="2"/>
  <c r="D45" i="2"/>
  <c r="F4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<sst xmlns="http://schemas.openxmlformats.org/spreadsheetml/2006/main" count="535" uniqueCount="100">
  <si>
    <t>Projects</t>
  </si>
  <si>
    <t>Start Date</t>
  </si>
  <si>
    <t>Subcontractors</t>
  </si>
  <si>
    <t xml:space="preserve">3C Concrete </t>
  </si>
  <si>
    <t xml:space="preserve">Willett &amp; Assoc. </t>
  </si>
  <si>
    <t>Julio H</t>
  </si>
  <si>
    <t xml:space="preserve">Gerardo </t>
  </si>
  <si>
    <t>Rod Smith</t>
  </si>
  <si>
    <t>Dave Kaler</t>
  </si>
  <si>
    <t>Adco</t>
  </si>
  <si>
    <t>Hays</t>
  </si>
  <si>
    <t>LW Contracting</t>
  </si>
  <si>
    <t>Bernall Constr.</t>
  </si>
  <si>
    <t>Matt Thorn</t>
  </si>
  <si>
    <t>L&amp;L Painting</t>
  </si>
  <si>
    <t>Whittmer</t>
  </si>
  <si>
    <t>Tate Granit</t>
  </si>
  <si>
    <t>Angie Mullens</t>
  </si>
  <si>
    <t>Jacob Hayden</t>
  </si>
  <si>
    <t xml:space="preserve">Ramiro </t>
  </si>
  <si>
    <t>TruGreen</t>
  </si>
  <si>
    <t>Angies Cleaning</t>
  </si>
  <si>
    <t>Footer</t>
  </si>
  <si>
    <t>Slab</t>
  </si>
  <si>
    <t>Driveway</t>
  </si>
  <si>
    <t>Site Prep</t>
  </si>
  <si>
    <t>Siding</t>
  </si>
  <si>
    <t>Roofing</t>
  </si>
  <si>
    <t>Rough grade</t>
  </si>
  <si>
    <t>Flooring</t>
  </si>
  <si>
    <t>Tile Work</t>
  </si>
  <si>
    <t>Sheetrock</t>
  </si>
  <si>
    <t xml:space="preserve">Trim Interior </t>
  </si>
  <si>
    <t>Trim Exterior</t>
  </si>
  <si>
    <t>Cabinets</t>
  </si>
  <si>
    <t>Countertops</t>
  </si>
  <si>
    <t>Closets</t>
  </si>
  <si>
    <t>French Drain</t>
  </si>
  <si>
    <t>Lawn Seeding</t>
  </si>
  <si>
    <t>Cleaning</t>
  </si>
  <si>
    <t>Danny Liedecher</t>
  </si>
  <si>
    <t>Garage Doors</t>
  </si>
  <si>
    <t>BlueGrass Gutters</t>
  </si>
  <si>
    <t>Gutters</t>
  </si>
  <si>
    <t>Scope 1</t>
  </si>
  <si>
    <t>Scope 2</t>
  </si>
  <si>
    <t>Scope 3</t>
  </si>
  <si>
    <t>Scope 4</t>
  </si>
  <si>
    <t>Estimate</t>
  </si>
  <si>
    <t>Clearing</t>
  </si>
  <si>
    <t>Block</t>
  </si>
  <si>
    <t>Framing</t>
  </si>
  <si>
    <t>Plumbing Pre</t>
  </si>
  <si>
    <t>Plumbing Rough</t>
  </si>
  <si>
    <t>Plumbing Finish</t>
  </si>
  <si>
    <t>Painting Finish</t>
  </si>
  <si>
    <t>Electrical Pre</t>
  </si>
  <si>
    <t>Electrical Rough</t>
  </si>
  <si>
    <t>Electrical Finish</t>
  </si>
  <si>
    <t>HVAC Finish</t>
  </si>
  <si>
    <t>HVAC Pre</t>
  </si>
  <si>
    <t>Rock work</t>
  </si>
  <si>
    <t>Rock Work</t>
  </si>
  <si>
    <t>Tyler Champion</t>
  </si>
  <si>
    <t>HVAC Rough</t>
  </si>
  <si>
    <t>Insulation Block</t>
  </si>
  <si>
    <t>Insulation Walls</t>
  </si>
  <si>
    <t>Insulation Ceiling</t>
  </si>
  <si>
    <t>Painting Primer</t>
  </si>
  <si>
    <t>Painting Main</t>
  </si>
  <si>
    <t>Brick</t>
  </si>
  <si>
    <t xml:space="preserve">Stone </t>
  </si>
  <si>
    <t>Appliances</t>
  </si>
  <si>
    <t>Rough Grade</t>
  </si>
  <si>
    <t>Irrigation</t>
  </si>
  <si>
    <t>Finish Grade</t>
  </si>
  <si>
    <t xml:space="preserve">Landscaping </t>
  </si>
  <si>
    <t>Gutter drains</t>
  </si>
  <si>
    <t>Gutter Drains</t>
  </si>
  <si>
    <t xml:space="preserve">Scope </t>
  </si>
  <si>
    <t>Subcontractor</t>
  </si>
  <si>
    <t>W</t>
  </si>
  <si>
    <t>T</t>
  </si>
  <si>
    <t>M</t>
  </si>
  <si>
    <t>Sub Color</t>
  </si>
  <si>
    <t>Project</t>
  </si>
  <si>
    <t>Dependancy</t>
  </si>
  <si>
    <t>TH</t>
  </si>
  <si>
    <t>F</t>
  </si>
  <si>
    <t>S</t>
  </si>
  <si>
    <t>IW10</t>
  </si>
  <si>
    <t>To Complete</t>
  </si>
  <si>
    <t>End Date</t>
  </si>
  <si>
    <t xml:space="preserve">Days </t>
  </si>
  <si>
    <t>Scope 5</t>
  </si>
  <si>
    <t>Scope 6</t>
  </si>
  <si>
    <t>Scope 7</t>
  </si>
  <si>
    <t>Months to build</t>
  </si>
  <si>
    <t>Estimate to cleaning</t>
  </si>
  <si>
    <t>Days to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</si>
</sst>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71" formatCode="0.0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1" borderId="0" xfId="0" applyFont="1" applyFill="1"/>
    <xf numFmtId="0" fontId="4" fillId="10" borderId="0" xfId="0" applyFont="1" applyFill="1"/>
    <xf numFmtId="0" fontId="4" fillId="17" borderId="0" xfId="0" applyFont="1" applyFill="1"/>
    <xf numFmtId="0" fontId="4" fillId="23" borderId="0" xfId="0" applyFont="1" applyFill="1"/>
    <xf numFmtId="0" fontId="4" fillId="22" borderId="0" xfId="0" applyFont="1" applyFill="1"/>
    <xf numFmtId="0" fontId="4" fillId="21" borderId="0" xfId="0" applyFont="1" applyFill="1"/>
    <xf numFmtId="0" fontId="4" fillId="20" borderId="0" xfId="0" applyFont="1" applyFill="1"/>
    <xf numFmtId="0" fontId="4" fillId="19" borderId="0" xfId="0" applyFont="1" applyFill="1"/>
    <xf numFmtId="0" fontId="4" fillId="16" borderId="0" xfId="0" applyFont="1" applyFill="1"/>
    <xf numFmtId="0" fontId="4" fillId="18" borderId="0" xfId="0" applyFont="1" applyFill="1"/>
    <xf numFmtId="0" fontId="4" fillId="15" borderId="0" xfId="0" applyFont="1" applyFill="1"/>
    <xf numFmtId="0" fontId="4" fillId="14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0" fillId="0" borderId="4" xfId="0" applyFill="1" applyBorder="1"/>
    <xf numFmtId="0" fontId="2" fillId="0" borderId="4" xfId="0" applyFont="1" applyFill="1" applyBorder="1"/>
    <xf numFmtId="0" fontId="2" fillId="0" borderId="4" xfId="0" applyFont="1" applyBorder="1"/>
    <xf numFmtId="14" fontId="8" fillId="24" borderId="0" xfId="0" applyNumberFormat="1" applyFont="1" applyFill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71" fontId="4" fillId="0" borderId="0" xfId="0" applyNumberFormat="1" applyFont="1" applyAlignment="1">
      <alignment horizontal="center"/>
    </xf>
  </cellXfs>
  <cellStyles count="1">
    <cellStyle name="Normal" xfId="0" builtinId="0"/>
  </cellStyles>
  <dxfs count="59">
    <dxf>
      <fill>
        <patternFill>
          <bgColor theme="2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1" tint="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8E0000"/>
        </patternFill>
      </fill>
    </dxf>
    <dxf>
      <fill>
        <patternFill>
          <bgColor rgb="FF0088B8"/>
        </patternFill>
      </fill>
    </dxf>
    <dxf>
      <fill>
        <patternFill>
          <bgColor rgb="FF009E47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00FF"/>
        </patternFill>
      </fill>
    </dxf>
    <dxf>
      <fill>
        <patternFill>
          <bgColor rgb="FF00FFFF"/>
        </patternFill>
      </fill>
    </dxf>
    <dxf>
      <fill>
        <patternFill>
          <bgColor rgb="FF002060"/>
        </patternFill>
      </fill>
    </dxf>
    <dxf>
      <fill>
        <patternFill>
          <bgColor theme="5"/>
        </patternFill>
      </fill>
    </dxf>
    <dxf>
      <fill>
        <patternFill>
          <bgColor rgb="FFCC0099"/>
        </patternFill>
      </fill>
    </dxf>
    <dxf>
      <fill>
        <patternFill>
          <bgColor rgb="FFFF0066"/>
        </patternFill>
      </fill>
    </dxf>
    <dxf>
      <fill>
        <patternFill>
          <bgColor theme="5"/>
        </patternFill>
      </fill>
    </dxf>
    <dxf>
      <fill>
        <patternFill>
          <bgColor rgb="FF002060"/>
        </patternFill>
      </fill>
    </dxf>
    <dxf>
      <fill>
        <patternFill>
          <bgColor rgb="FF00FFFF"/>
        </patternFill>
      </fill>
    </dxf>
    <dxf>
      <fill>
        <patternFill>
          <bgColor rgb="FF0000FF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9E47"/>
        </patternFill>
      </fill>
    </dxf>
    <dxf>
      <fill>
        <patternFill>
          <bgColor rgb="FF0088B8"/>
        </patternFill>
      </fill>
    </dxf>
    <dxf>
      <fill>
        <patternFill>
          <bgColor rgb="FF8E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theme="9" tint="0.39994506668294322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FFFFCC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CC0099"/>
      <color rgb="FFFF0066"/>
      <color rgb="FFEEEEEE"/>
      <color rgb="FF00FFFF"/>
      <color rgb="FF0000FF"/>
      <color rgb="FF009E47"/>
      <color rgb="FF0088B8"/>
      <color rgb="FF8E0000"/>
      <color rgb="FFFF00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272E-2FB5-4F18-A50E-B866BF4DFA33}">
  <dimension ref="A1:L23"/>
  <sheetViews>
    <sheetView workbookViewId="0">
      <selection activeCell="I2" sqref="I2"/>
    </sheetView>
  </sheetViews>
  <sheetFormatPr defaultColWidth="9.109375" defaultRowHeight="13.8" x14ac:dyDescent="0.3"/>
  <cols>
    <col min="1" max="2" width="9.109375" style="3"/>
    <col min="3" max="3" width="9.88671875" style="3" bestFit="1" customWidth="1"/>
    <col min="4" max="4" width="16.88671875" style="3" bestFit="1" customWidth="1"/>
    <col min="5" max="5" width="9.109375" style="3"/>
    <col min="6" max="7" width="16.109375" style="3" customWidth="1"/>
    <col min="8" max="8" width="16.44140625" style="3" customWidth="1"/>
    <col min="9" max="12" width="16.33203125" style="3" customWidth="1"/>
    <col min="13" max="16384" width="9.109375" style="3"/>
  </cols>
  <sheetData>
    <row r="1" spans="1:12" x14ac:dyDescent="0.3">
      <c r="A1" s="2" t="s">
        <v>0</v>
      </c>
      <c r="B1" s="2"/>
      <c r="C1" s="2" t="s">
        <v>84</v>
      </c>
      <c r="D1" s="2" t="s">
        <v>2</v>
      </c>
      <c r="E1" s="2"/>
      <c r="F1" s="2" t="s">
        <v>44</v>
      </c>
      <c r="G1" s="2" t="s">
        <v>45</v>
      </c>
      <c r="H1" s="2" t="s">
        <v>46</v>
      </c>
      <c r="I1" s="2" t="s">
        <v>47</v>
      </c>
      <c r="J1" s="2" t="s">
        <v>94</v>
      </c>
      <c r="K1" s="2" t="s">
        <v>95</v>
      </c>
      <c r="L1" s="2" t="s">
        <v>96</v>
      </c>
    </row>
    <row r="2" spans="1:12" x14ac:dyDescent="0.3">
      <c r="A2" s="28">
        <v>1</v>
      </c>
      <c r="C2" s="6"/>
      <c r="D2" s="3" t="s">
        <v>3</v>
      </c>
      <c r="F2" s="3" t="s">
        <v>22</v>
      </c>
      <c r="G2" s="3" t="s">
        <v>23</v>
      </c>
      <c r="H2" s="3" t="s">
        <v>24</v>
      </c>
    </row>
    <row r="3" spans="1:12" x14ac:dyDescent="0.3">
      <c r="A3" s="28">
        <v>2</v>
      </c>
      <c r="C3" s="7"/>
      <c r="D3" s="3" t="s">
        <v>4</v>
      </c>
      <c r="F3" s="3" t="s">
        <v>48</v>
      </c>
      <c r="G3" s="3" t="s">
        <v>49</v>
      </c>
      <c r="H3" s="3" t="s">
        <v>25</v>
      </c>
      <c r="I3" s="3" t="s">
        <v>28</v>
      </c>
      <c r="J3" s="3" t="s">
        <v>61</v>
      </c>
    </row>
    <row r="4" spans="1:12" x14ac:dyDescent="0.3">
      <c r="A4" s="28">
        <v>3</v>
      </c>
      <c r="C4" s="8"/>
      <c r="D4" s="3" t="s">
        <v>5</v>
      </c>
      <c r="F4" s="3" t="s">
        <v>50</v>
      </c>
      <c r="G4" s="3" t="s">
        <v>70</v>
      </c>
      <c r="H4" s="3" t="s">
        <v>71</v>
      </c>
    </row>
    <row r="5" spans="1:12" x14ac:dyDescent="0.3">
      <c r="A5" s="28">
        <v>4</v>
      </c>
      <c r="C5" s="9"/>
      <c r="D5" s="3" t="s">
        <v>6</v>
      </c>
      <c r="F5" s="3" t="s">
        <v>51</v>
      </c>
      <c r="G5" s="3" t="s">
        <v>26</v>
      </c>
    </row>
    <row r="6" spans="1:12" x14ac:dyDescent="0.3">
      <c r="C6" s="10"/>
      <c r="D6" s="3" t="s">
        <v>7</v>
      </c>
      <c r="F6" s="3" t="s">
        <v>27</v>
      </c>
    </row>
    <row r="7" spans="1:12" x14ac:dyDescent="0.3">
      <c r="C7" s="11"/>
      <c r="D7" s="3" t="s">
        <v>8</v>
      </c>
      <c r="F7" s="3" t="s">
        <v>56</v>
      </c>
      <c r="G7" s="3" t="s">
        <v>57</v>
      </c>
      <c r="H7" s="3" t="s">
        <v>58</v>
      </c>
      <c r="I7" s="3" t="s">
        <v>72</v>
      </c>
    </row>
    <row r="8" spans="1:12" x14ac:dyDescent="0.3">
      <c r="C8" s="12"/>
      <c r="D8" s="3" t="s">
        <v>9</v>
      </c>
      <c r="F8" s="3" t="s">
        <v>60</v>
      </c>
      <c r="G8" s="3" t="s">
        <v>64</v>
      </c>
      <c r="H8" s="3" t="s">
        <v>59</v>
      </c>
    </row>
    <row r="9" spans="1:12" x14ac:dyDescent="0.3">
      <c r="C9" s="13"/>
      <c r="D9" s="3" t="s">
        <v>10</v>
      </c>
      <c r="F9" s="3" t="s">
        <v>52</v>
      </c>
      <c r="G9" s="3" t="s">
        <v>53</v>
      </c>
      <c r="H9" s="3" t="s">
        <v>54</v>
      </c>
    </row>
    <row r="10" spans="1:12" x14ac:dyDescent="0.3">
      <c r="C10" s="14"/>
      <c r="D10" s="3" t="s">
        <v>11</v>
      </c>
      <c r="F10" s="3" t="s">
        <v>29</v>
      </c>
      <c r="G10" s="3" t="s">
        <v>30</v>
      </c>
    </row>
    <row r="11" spans="1:12" x14ac:dyDescent="0.3">
      <c r="C11" s="15"/>
      <c r="D11" s="3" t="s">
        <v>63</v>
      </c>
      <c r="F11" s="3" t="s">
        <v>65</v>
      </c>
      <c r="G11" s="3" t="s">
        <v>66</v>
      </c>
      <c r="H11" s="3" t="s">
        <v>67</v>
      </c>
    </row>
    <row r="12" spans="1:12" x14ac:dyDescent="0.3">
      <c r="C12" s="16"/>
      <c r="D12" s="3" t="s">
        <v>12</v>
      </c>
      <c r="F12" s="3" t="s">
        <v>31</v>
      </c>
    </row>
    <row r="13" spans="1:12" x14ac:dyDescent="0.3">
      <c r="C13" s="17"/>
      <c r="D13" s="3" t="s">
        <v>40</v>
      </c>
      <c r="F13" s="3" t="s">
        <v>41</v>
      </c>
    </row>
    <row r="14" spans="1:12" x14ac:dyDescent="0.3">
      <c r="C14" s="18"/>
      <c r="D14" s="3" t="s">
        <v>42</v>
      </c>
      <c r="F14" s="3" t="s">
        <v>43</v>
      </c>
    </row>
    <row r="15" spans="1:12" x14ac:dyDescent="0.3">
      <c r="C15" s="19"/>
      <c r="D15" s="3" t="s">
        <v>13</v>
      </c>
      <c r="F15" s="3" t="s">
        <v>32</v>
      </c>
      <c r="G15" s="3" t="s">
        <v>33</v>
      </c>
    </row>
    <row r="16" spans="1:12" x14ac:dyDescent="0.3">
      <c r="C16" s="20"/>
      <c r="D16" s="3" t="s">
        <v>14</v>
      </c>
      <c r="F16" s="3" t="s">
        <v>68</v>
      </c>
      <c r="G16" s="3" t="s">
        <v>69</v>
      </c>
      <c r="H16" s="3" t="s">
        <v>55</v>
      </c>
    </row>
    <row r="17" spans="3:9" x14ac:dyDescent="0.3">
      <c r="C17" s="21"/>
      <c r="D17" s="3" t="s">
        <v>15</v>
      </c>
      <c r="F17" s="3" t="s">
        <v>34</v>
      </c>
    </row>
    <row r="18" spans="3:9" x14ac:dyDescent="0.3">
      <c r="C18" s="22"/>
      <c r="D18" s="3" t="s">
        <v>16</v>
      </c>
      <c r="F18" s="3" t="s">
        <v>35</v>
      </c>
    </row>
    <row r="19" spans="3:9" x14ac:dyDescent="0.3">
      <c r="C19" s="23"/>
      <c r="D19" s="3" t="s">
        <v>17</v>
      </c>
      <c r="F19" s="3" t="s">
        <v>36</v>
      </c>
    </row>
    <row r="20" spans="3:9" x14ac:dyDescent="0.3">
      <c r="C20" s="24"/>
      <c r="D20" s="3" t="s">
        <v>18</v>
      </c>
      <c r="F20" s="3" t="s">
        <v>76</v>
      </c>
      <c r="G20" s="3" t="s">
        <v>75</v>
      </c>
      <c r="H20" s="3" t="s">
        <v>37</v>
      </c>
      <c r="I20" s="3" t="s">
        <v>78</v>
      </c>
    </row>
    <row r="21" spans="3:9" x14ac:dyDescent="0.3">
      <c r="C21" s="25"/>
      <c r="D21" s="3" t="s">
        <v>19</v>
      </c>
      <c r="F21" s="3" t="s">
        <v>74</v>
      </c>
    </row>
    <row r="22" spans="3:9" x14ac:dyDescent="0.3">
      <c r="C22" s="26"/>
      <c r="D22" s="3" t="s">
        <v>20</v>
      </c>
      <c r="F22" s="3" t="s">
        <v>38</v>
      </c>
    </row>
    <row r="23" spans="3:9" x14ac:dyDescent="0.3">
      <c r="C23" s="27"/>
      <c r="D23" s="3" t="s">
        <v>21</v>
      </c>
      <c r="F23" s="3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D0F4-26C4-4A0C-8915-C537D7B47035}">
  <dimension ref="A1:NA51"/>
  <sheetViews>
    <sheetView tabSelected="1" zoomScale="55" zoomScaleNormal="55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AA52" sqref="AA52"/>
    </sheetView>
  </sheetViews>
  <sheetFormatPr defaultRowHeight="14.4" x14ac:dyDescent="0.3"/>
  <cols>
    <col min="1" max="1" width="10.44140625" bestFit="1" customWidth="1"/>
    <col min="2" max="4" width="15.6640625" style="3" customWidth="1"/>
    <col min="5" max="5" width="17.44140625" style="4" bestFit="1" customWidth="1"/>
    <col min="6" max="6" width="15.21875" style="4" bestFit="1" customWidth="1"/>
    <col min="7" max="7" width="17.33203125" bestFit="1" customWidth="1"/>
    <col min="9" max="10" width="4" bestFit="1" customWidth="1"/>
    <col min="11" max="19" width="3.109375" bestFit="1" customWidth="1"/>
    <col min="20" max="40" width="4" bestFit="1" customWidth="1"/>
    <col min="41" max="49" width="3.109375" bestFit="1" customWidth="1"/>
    <col min="50" max="71" width="4" bestFit="1" customWidth="1"/>
    <col min="72" max="80" width="3.109375" bestFit="1" customWidth="1"/>
    <col min="81" max="101" width="4" bestFit="1" customWidth="1"/>
    <col min="102" max="110" width="3.109375" bestFit="1" customWidth="1"/>
    <col min="111" max="132" width="4" bestFit="1" customWidth="1"/>
    <col min="133" max="141" width="3.109375" bestFit="1" customWidth="1"/>
    <col min="142" max="163" width="4" bestFit="1" customWidth="1"/>
    <col min="164" max="172" width="3.109375" bestFit="1" customWidth="1"/>
    <col min="173" max="202" width="4" bestFit="1" customWidth="1"/>
    <col min="203" max="224" width="4.88671875" bestFit="1" customWidth="1"/>
    <col min="225" max="233" width="4" bestFit="1" customWidth="1"/>
    <col min="234" max="254" width="4.88671875" bestFit="1" customWidth="1"/>
    <col min="255" max="263" width="4" bestFit="1" customWidth="1"/>
    <col min="264" max="285" width="4.88671875" bestFit="1" customWidth="1"/>
    <col min="286" max="294" width="3.109375" bestFit="1" customWidth="1"/>
    <col min="295" max="316" width="4" bestFit="1" customWidth="1"/>
    <col min="317" max="325" width="3.109375" bestFit="1" customWidth="1"/>
    <col min="326" max="344" width="4" bestFit="1" customWidth="1"/>
    <col min="345" max="353" width="3.109375" bestFit="1" customWidth="1"/>
    <col min="354" max="365" width="4" bestFit="1" customWidth="1"/>
    <col min="366" max="369" width="1.6640625" customWidth="1"/>
  </cols>
  <sheetData>
    <row r="1" spans="1:365" s="4" customFormat="1" ht="22.2" customHeight="1" x14ac:dyDescent="0.3">
      <c r="B1" s="28"/>
      <c r="C1" s="28"/>
      <c r="D1" s="28"/>
      <c r="I1" s="32">
        <v>46117</v>
      </c>
      <c r="J1" s="33"/>
      <c r="K1" s="33"/>
      <c r="L1" s="33"/>
      <c r="M1" s="33"/>
      <c r="N1" s="33"/>
      <c r="O1" s="34"/>
      <c r="P1" s="32">
        <v>46124</v>
      </c>
      <c r="Q1" s="33"/>
      <c r="R1" s="33"/>
      <c r="S1" s="33"/>
      <c r="T1" s="33"/>
      <c r="U1" s="33"/>
      <c r="V1" s="34"/>
      <c r="W1" s="32">
        <v>46131</v>
      </c>
      <c r="X1" s="35"/>
      <c r="Y1" s="35"/>
      <c r="Z1" s="35"/>
      <c r="AA1" s="35"/>
      <c r="AB1" s="35"/>
      <c r="AC1" s="36"/>
      <c r="AD1" s="32">
        <v>46138</v>
      </c>
      <c r="AE1" s="33"/>
      <c r="AF1" s="33"/>
      <c r="AG1" s="33"/>
      <c r="AH1" s="33"/>
      <c r="AI1" s="33"/>
      <c r="AJ1" s="34"/>
      <c r="AK1" s="32">
        <v>46145</v>
      </c>
      <c r="AL1" s="33"/>
      <c r="AM1" s="33"/>
      <c r="AN1" s="33"/>
      <c r="AO1" s="33"/>
      <c r="AP1" s="33"/>
      <c r="AQ1" s="34"/>
      <c r="AR1" s="32">
        <v>46152</v>
      </c>
      <c r="AS1" s="33"/>
      <c r="AT1" s="33"/>
      <c r="AU1" s="33"/>
      <c r="AV1" s="33"/>
      <c r="AW1" s="33"/>
      <c r="AX1" s="34"/>
      <c r="AY1" s="32">
        <v>46159</v>
      </c>
      <c r="AZ1" s="33"/>
      <c r="BA1" s="33"/>
      <c r="BB1" s="33"/>
      <c r="BC1" s="33"/>
      <c r="BD1" s="33"/>
      <c r="BE1" s="34"/>
      <c r="BF1" s="32">
        <v>46166</v>
      </c>
      <c r="BG1" s="35"/>
      <c r="BH1" s="35"/>
      <c r="BI1" s="35"/>
      <c r="BJ1" s="35"/>
      <c r="BK1" s="35"/>
      <c r="BL1" s="36"/>
      <c r="BM1" s="32">
        <v>46173</v>
      </c>
      <c r="BN1" s="33"/>
      <c r="BO1" s="33"/>
      <c r="BP1" s="33"/>
      <c r="BQ1" s="33"/>
      <c r="BR1" s="33"/>
      <c r="BS1" s="34"/>
      <c r="BT1" s="32">
        <v>46180</v>
      </c>
      <c r="BU1" s="35"/>
      <c r="BV1" s="35"/>
      <c r="BW1" s="35"/>
      <c r="BX1" s="35"/>
      <c r="BY1" s="35"/>
      <c r="BZ1" s="36"/>
      <c r="CA1" s="32">
        <v>46187</v>
      </c>
      <c r="CB1" s="33"/>
      <c r="CC1" s="33"/>
      <c r="CD1" s="33"/>
      <c r="CE1" s="33"/>
      <c r="CF1" s="33"/>
      <c r="CG1" s="34"/>
      <c r="CH1" s="32">
        <v>46194</v>
      </c>
      <c r="CI1" s="33"/>
      <c r="CJ1" s="33"/>
      <c r="CK1" s="33"/>
      <c r="CL1" s="33"/>
      <c r="CM1" s="33"/>
      <c r="CN1" s="34"/>
      <c r="CO1" s="32">
        <v>46201</v>
      </c>
      <c r="CP1" s="33"/>
      <c r="CQ1" s="33"/>
      <c r="CR1" s="33"/>
      <c r="CS1" s="33"/>
      <c r="CT1" s="33"/>
      <c r="CU1" s="34"/>
      <c r="CV1" s="32">
        <v>46208</v>
      </c>
      <c r="CW1" s="33"/>
      <c r="CX1" s="33"/>
      <c r="CY1" s="33"/>
      <c r="CZ1" s="33"/>
      <c r="DA1" s="33"/>
      <c r="DB1" s="34"/>
      <c r="DC1" s="32">
        <v>46215</v>
      </c>
      <c r="DD1" s="35"/>
      <c r="DE1" s="35"/>
      <c r="DF1" s="35"/>
      <c r="DG1" s="35"/>
      <c r="DH1" s="35"/>
      <c r="DI1" s="36"/>
      <c r="DJ1" s="32">
        <v>46222</v>
      </c>
      <c r="DK1" s="33"/>
      <c r="DL1" s="33"/>
      <c r="DM1" s="33"/>
      <c r="DN1" s="33"/>
      <c r="DO1" s="33"/>
      <c r="DP1" s="34"/>
      <c r="DQ1" s="32">
        <v>46229</v>
      </c>
      <c r="DR1" s="33"/>
      <c r="DS1" s="33"/>
      <c r="DT1" s="33"/>
      <c r="DU1" s="33"/>
      <c r="DV1" s="33"/>
      <c r="DW1" s="34"/>
      <c r="DX1" s="32">
        <v>46236</v>
      </c>
      <c r="DY1" s="35"/>
      <c r="DZ1" s="35"/>
      <c r="EA1" s="35"/>
      <c r="EB1" s="35"/>
      <c r="EC1" s="35"/>
      <c r="ED1" s="36"/>
      <c r="EE1" s="32">
        <v>46243</v>
      </c>
      <c r="EF1" s="33"/>
      <c r="EG1" s="33"/>
      <c r="EH1" s="33"/>
      <c r="EI1" s="33"/>
      <c r="EJ1" s="33"/>
      <c r="EK1" s="34"/>
      <c r="EL1" s="32">
        <v>46250</v>
      </c>
      <c r="EM1" s="33"/>
      <c r="EN1" s="33"/>
      <c r="EO1" s="33"/>
      <c r="EP1" s="33"/>
      <c r="EQ1" s="33"/>
      <c r="ER1" s="34"/>
      <c r="ES1" s="32">
        <v>46257</v>
      </c>
      <c r="ET1" s="33"/>
      <c r="EU1" s="33"/>
      <c r="EV1" s="33"/>
      <c r="EW1" s="33"/>
      <c r="EX1" s="33"/>
      <c r="EY1" s="34"/>
      <c r="EZ1" s="32">
        <v>46264</v>
      </c>
      <c r="FA1" s="33"/>
      <c r="FB1" s="33"/>
      <c r="FC1" s="33"/>
      <c r="FD1" s="33"/>
      <c r="FE1" s="33"/>
      <c r="FF1" s="34"/>
      <c r="FG1" s="32">
        <v>46271</v>
      </c>
      <c r="FH1" s="35"/>
      <c r="FI1" s="35"/>
      <c r="FJ1" s="35"/>
      <c r="FK1" s="35"/>
      <c r="FL1" s="35"/>
      <c r="FM1" s="36"/>
      <c r="FN1" s="32">
        <v>46278</v>
      </c>
      <c r="FO1" s="33"/>
      <c r="FP1" s="33"/>
      <c r="FQ1" s="33"/>
      <c r="FR1" s="33"/>
      <c r="FS1" s="33"/>
      <c r="FT1" s="34"/>
      <c r="FU1" s="32">
        <v>46285</v>
      </c>
      <c r="FV1" s="35"/>
      <c r="FW1" s="35"/>
      <c r="FX1" s="35"/>
      <c r="FY1" s="35"/>
      <c r="FZ1" s="35"/>
      <c r="GA1" s="36"/>
      <c r="GB1" s="32">
        <v>46292</v>
      </c>
      <c r="GC1" s="33"/>
      <c r="GD1" s="33"/>
      <c r="GE1" s="33"/>
      <c r="GF1" s="33"/>
      <c r="GG1" s="33"/>
      <c r="GH1" s="34"/>
      <c r="GI1" s="32">
        <v>46299</v>
      </c>
      <c r="GJ1" s="33"/>
      <c r="GK1" s="33"/>
      <c r="GL1" s="33"/>
      <c r="GM1" s="33"/>
      <c r="GN1" s="33"/>
      <c r="GO1" s="34"/>
      <c r="GP1" s="32">
        <v>46306</v>
      </c>
      <c r="GQ1" s="33"/>
      <c r="GR1" s="33"/>
      <c r="GS1" s="33"/>
      <c r="GT1" s="33"/>
      <c r="GU1" s="33"/>
      <c r="GV1" s="34"/>
      <c r="GW1" s="32">
        <v>46313</v>
      </c>
      <c r="GX1" s="33"/>
      <c r="GY1" s="33"/>
      <c r="GZ1" s="33"/>
      <c r="HA1" s="33"/>
      <c r="HB1" s="33"/>
      <c r="HC1" s="34"/>
      <c r="HD1" s="32">
        <v>46320</v>
      </c>
      <c r="HE1" s="35"/>
      <c r="HF1" s="35"/>
      <c r="HG1" s="35"/>
      <c r="HH1" s="35"/>
      <c r="HI1" s="35"/>
      <c r="HJ1" s="36"/>
      <c r="HK1" s="32">
        <v>46327</v>
      </c>
      <c r="HL1" s="33"/>
      <c r="HM1" s="33"/>
      <c r="HN1" s="33"/>
      <c r="HO1" s="33"/>
      <c r="HP1" s="33"/>
      <c r="HQ1" s="34"/>
      <c r="HR1" s="32">
        <v>46334</v>
      </c>
      <c r="HS1" s="33"/>
      <c r="HT1" s="33"/>
      <c r="HU1" s="33"/>
      <c r="HV1" s="33"/>
      <c r="HW1" s="33"/>
      <c r="HX1" s="34"/>
      <c r="HY1" s="32">
        <v>46341</v>
      </c>
      <c r="HZ1" s="35"/>
      <c r="IA1" s="35"/>
      <c r="IB1" s="35"/>
      <c r="IC1" s="35"/>
      <c r="ID1" s="35"/>
      <c r="IE1" s="36"/>
      <c r="IF1" s="32">
        <v>46348</v>
      </c>
      <c r="IG1" s="33"/>
      <c r="IH1" s="33"/>
      <c r="II1" s="33"/>
      <c r="IJ1" s="33"/>
      <c r="IK1" s="33"/>
      <c r="IL1" s="34"/>
      <c r="IM1" s="32">
        <v>46355</v>
      </c>
      <c r="IN1" s="33"/>
      <c r="IO1" s="33"/>
      <c r="IP1" s="33"/>
      <c r="IQ1" s="33"/>
      <c r="IR1" s="33"/>
      <c r="IS1" s="34"/>
      <c r="IT1" s="32">
        <v>46362</v>
      </c>
      <c r="IU1" s="33"/>
      <c r="IV1" s="33"/>
      <c r="IW1" s="33"/>
      <c r="IX1" s="33"/>
      <c r="IY1" s="33"/>
      <c r="IZ1" s="34"/>
      <c r="JA1" s="32">
        <v>46369</v>
      </c>
      <c r="JB1" s="33"/>
      <c r="JC1" s="33"/>
      <c r="JD1" s="33"/>
      <c r="JE1" s="33"/>
      <c r="JF1" s="33"/>
      <c r="JG1" s="34"/>
      <c r="JH1" s="32">
        <v>46376</v>
      </c>
      <c r="JI1" s="35"/>
      <c r="JJ1" s="35"/>
      <c r="JK1" s="35"/>
      <c r="JL1" s="35"/>
      <c r="JM1" s="35"/>
      <c r="JN1" s="36"/>
      <c r="JO1" s="32">
        <v>46383</v>
      </c>
      <c r="JP1" s="33"/>
      <c r="JQ1" s="33"/>
      <c r="JR1" s="33"/>
      <c r="JS1" s="33"/>
      <c r="JT1" s="33"/>
      <c r="JU1" s="34"/>
      <c r="JV1" s="32">
        <v>46390</v>
      </c>
      <c r="JW1" s="35"/>
      <c r="JX1" s="35"/>
      <c r="JY1" s="35"/>
      <c r="JZ1" s="35"/>
      <c r="KA1" s="35"/>
      <c r="KB1" s="36"/>
      <c r="KC1" s="32">
        <v>46397</v>
      </c>
      <c r="KD1" s="33"/>
      <c r="KE1" s="33"/>
      <c r="KF1" s="33"/>
      <c r="KG1" s="33"/>
      <c r="KH1" s="33"/>
      <c r="KI1" s="34"/>
      <c r="KJ1" s="32">
        <v>46404</v>
      </c>
      <c r="KK1" s="33"/>
      <c r="KL1" s="33"/>
      <c r="KM1" s="33"/>
      <c r="KN1" s="33"/>
      <c r="KO1" s="33"/>
      <c r="KP1" s="34"/>
      <c r="KQ1" s="32">
        <v>46411</v>
      </c>
      <c r="KR1" s="33"/>
      <c r="KS1" s="33"/>
      <c r="KT1" s="33"/>
      <c r="KU1" s="33"/>
      <c r="KV1" s="33"/>
      <c r="KW1" s="34"/>
      <c r="KX1" s="32">
        <v>46418</v>
      </c>
      <c r="KY1" s="33"/>
      <c r="KZ1" s="33"/>
      <c r="LA1" s="33"/>
      <c r="LB1" s="33"/>
      <c r="LC1" s="33"/>
      <c r="LD1" s="34"/>
      <c r="LE1" s="32">
        <v>46425</v>
      </c>
      <c r="LF1" s="35"/>
      <c r="LG1" s="35"/>
      <c r="LH1" s="35"/>
      <c r="LI1" s="35"/>
      <c r="LJ1" s="35"/>
      <c r="LK1" s="36"/>
      <c r="LL1" s="32">
        <v>46432</v>
      </c>
      <c r="LM1" s="33"/>
      <c r="LN1" s="33"/>
      <c r="LO1" s="33"/>
      <c r="LP1" s="33"/>
      <c r="LQ1" s="33"/>
      <c r="LR1" s="34"/>
      <c r="LS1" s="32">
        <v>46439</v>
      </c>
      <c r="LT1" s="33"/>
      <c r="LU1" s="33"/>
      <c r="LV1" s="33"/>
      <c r="LW1" s="33"/>
      <c r="LX1" s="33"/>
      <c r="LY1" s="34"/>
      <c r="LZ1" s="32">
        <v>46446</v>
      </c>
      <c r="MA1" s="35"/>
      <c r="MB1" s="35"/>
      <c r="MC1" s="35"/>
      <c r="MD1" s="35"/>
      <c r="ME1" s="35"/>
      <c r="MF1" s="36"/>
      <c r="MG1" s="32">
        <v>46453</v>
      </c>
      <c r="MH1" s="33"/>
      <c r="MI1" s="33"/>
      <c r="MJ1" s="33"/>
      <c r="MK1" s="33"/>
      <c r="ML1" s="33"/>
      <c r="MM1" s="34"/>
      <c r="MN1" s="32">
        <v>46460</v>
      </c>
      <c r="MO1" s="33"/>
      <c r="MP1" s="33"/>
      <c r="MQ1" s="33"/>
      <c r="MR1" s="33"/>
      <c r="MS1" s="33"/>
      <c r="MT1" s="34"/>
      <c r="MU1" s="32">
        <v>46467</v>
      </c>
      <c r="MV1" s="33"/>
      <c r="MW1" s="33"/>
      <c r="MX1" s="33"/>
      <c r="MY1" s="33"/>
      <c r="MZ1" s="33"/>
      <c r="NA1" s="34"/>
    </row>
    <row r="2" spans="1:365" s="29" customFormat="1" ht="22.2" customHeight="1" x14ac:dyDescent="0.15">
      <c r="E2" s="37" t="s">
        <v>93</v>
      </c>
      <c r="I2" s="29" t="s">
        <v>83</v>
      </c>
      <c r="J2" s="29" t="s">
        <v>82</v>
      </c>
      <c r="K2" s="29" t="s">
        <v>81</v>
      </c>
      <c r="L2" s="29" t="s">
        <v>87</v>
      </c>
      <c r="M2" s="29" t="s">
        <v>88</v>
      </c>
      <c r="N2" s="29" t="s">
        <v>89</v>
      </c>
      <c r="O2" s="29" t="s">
        <v>89</v>
      </c>
      <c r="P2" s="29" t="s">
        <v>83</v>
      </c>
      <c r="Q2" s="29" t="s">
        <v>82</v>
      </c>
      <c r="R2" s="29" t="s">
        <v>81</v>
      </c>
      <c r="S2" s="29" t="s">
        <v>87</v>
      </c>
      <c r="T2" s="29" t="s">
        <v>88</v>
      </c>
      <c r="U2" s="29" t="s">
        <v>89</v>
      </c>
      <c r="V2" s="29" t="s">
        <v>89</v>
      </c>
      <c r="W2" s="29" t="s">
        <v>83</v>
      </c>
      <c r="X2" s="29" t="s">
        <v>82</v>
      </c>
      <c r="Y2" s="29" t="s">
        <v>81</v>
      </c>
      <c r="Z2" s="29" t="s">
        <v>87</v>
      </c>
      <c r="AA2" s="29" t="s">
        <v>88</v>
      </c>
      <c r="AB2" s="29" t="s">
        <v>89</v>
      </c>
      <c r="AC2" s="29" t="s">
        <v>89</v>
      </c>
      <c r="AD2" s="29" t="s">
        <v>83</v>
      </c>
      <c r="AE2" s="29" t="s">
        <v>82</v>
      </c>
      <c r="AF2" s="29" t="s">
        <v>81</v>
      </c>
      <c r="AG2" s="29" t="s">
        <v>87</v>
      </c>
      <c r="AH2" s="29" t="s">
        <v>88</v>
      </c>
      <c r="AI2" s="29" t="s">
        <v>89</v>
      </c>
      <c r="AJ2" s="29" t="s">
        <v>89</v>
      </c>
      <c r="AK2" s="29" t="s">
        <v>83</v>
      </c>
      <c r="AL2" s="29" t="s">
        <v>82</v>
      </c>
      <c r="AM2" s="29" t="s">
        <v>81</v>
      </c>
      <c r="AN2" s="29" t="s">
        <v>87</v>
      </c>
      <c r="AO2" s="29" t="s">
        <v>88</v>
      </c>
      <c r="AP2" s="29" t="s">
        <v>89</v>
      </c>
      <c r="AQ2" s="29" t="s">
        <v>89</v>
      </c>
      <c r="AR2" s="29" t="s">
        <v>83</v>
      </c>
      <c r="AS2" s="29" t="s">
        <v>82</v>
      </c>
      <c r="AT2" s="29" t="s">
        <v>81</v>
      </c>
      <c r="AU2" s="29" t="s">
        <v>87</v>
      </c>
      <c r="AV2" s="29" t="s">
        <v>88</v>
      </c>
      <c r="AW2" s="29" t="s">
        <v>89</v>
      </c>
      <c r="AX2" s="29" t="s">
        <v>89</v>
      </c>
      <c r="AY2" s="29" t="s">
        <v>83</v>
      </c>
      <c r="AZ2" s="29" t="s">
        <v>82</v>
      </c>
      <c r="BA2" s="29" t="s">
        <v>81</v>
      </c>
      <c r="BB2" s="29" t="s">
        <v>87</v>
      </c>
      <c r="BC2" s="29" t="s">
        <v>88</v>
      </c>
      <c r="BD2" s="29" t="s">
        <v>89</v>
      </c>
      <c r="BE2" s="29" t="s">
        <v>89</v>
      </c>
      <c r="BF2" s="29" t="s">
        <v>83</v>
      </c>
      <c r="BG2" s="29" t="s">
        <v>82</v>
      </c>
      <c r="BH2" s="29" t="s">
        <v>81</v>
      </c>
      <c r="BI2" s="29" t="s">
        <v>87</v>
      </c>
      <c r="BJ2" s="29" t="s">
        <v>88</v>
      </c>
      <c r="BK2" s="29" t="s">
        <v>89</v>
      </c>
      <c r="BL2" s="29" t="s">
        <v>89</v>
      </c>
      <c r="BM2" s="29" t="s">
        <v>83</v>
      </c>
      <c r="BN2" s="29" t="s">
        <v>82</v>
      </c>
      <c r="BO2" s="29" t="s">
        <v>81</v>
      </c>
      <c r="BP2" s="29" t="s">
        <v>87</v>
      </c>
      <c r="BQ2" s="29" t="s">
        <v>88</v>
      </c>
      <c r="BR2" s="29" t="s">
        <v>89</v>
      </c>
      <c r="BS2" s="29" t="s">
        <v>89</v>
      </c>
      <c r="BT2" s="29" t="s">
        <v>83</v>
      </c>
      <c r="BU2" s="29" t="s">
        <v>82</v>
      </c>
      <c r="BV2" s="29" t="s">
        <v>81</v>
      </c>
      <c r="BW2" s="29" t="s">
        <v>87</v>
      </c>
      <c r="BX2" s="29" t="s">
        <v>88</v>
      </c>
      <c r="BY2" s="29" t="s">
        <v>89</v>
      </c>
      <c r="BZ2" s="29" t="s">
        <v>89</v>
      </c>
      <c r="CA2" s="29" t="s">
        <v>83</v>
      </c>
      <c r="CB2" s="29" t="s">
        <v>82</v>
      </c>
      <c r="CC2" s="29" t="s">
        <v>81</v>
      </c>
      <c r="CD2" s="29" t="s">
        <v>87</v>
      </c>
      <c r="CE2" s="29" t="s">
        <v>88</v>
      </c>
      <c r="CF2" s="29" t="s">
        <v>89</v>
      </c>
      <c r="CG2" s="29" t="s">
        <v>89</v>
      </c>
      <c r="CH2" s="29" t="s">
        <v>83</v>
      </c>
      <c r="CI2" s="29" t="s">
        <v>82</v>
      </c>
      <c r="CJ2" s="29" t="s">
        <v>81</v>
      </c>
      <c r="CK2" s="29" t="s">
        <v>87</v>
      </c>
      <c r="CL2" s="29" t="s">
        <v>88</v>
      </c>
      <c r="CM2" s="29" t="s">
        <v>89</v>
      </c>
      <c r="CN2" s="29" t="s">
        <v>89</v>
      </c>
      <c r="CO2" s="29" t="s">
        <v>83</v>
      </c>
      <c r="CP2" s="29" t="s">
        <v>82</v>
      </c>
      <c r="CQ2" s="29" t="s">
        <v>81</v>
      </c>
      <c r="CR2" s="29" t="s">
        <v>87</v>
      </c>
      <c r="CS2" s="29" t="s">
        <v>88</v>
      </c>
      <c r="CT2" s="29" t="s">
        <v>89</v>
      </c>
      <c r="CU2" s="29" t="s">
        <v>89</v>
      </c>
      <c r="CV2" s="29" t="s">
        <v>83</v>
      </c>
      <c r="CW2" s="29" t="s">
        <v>82</v>
      </c>
      <c r="CX2" s="29" t="s">
        <v>81</v>
      </c>
      <c r="CY2" s="29" t="s">
        <v>87</v>
      </c>
      <c r="CZ2" s="29" t="s">
        <v>88</v>
      </c>
      <c r="DA2" s="29" t="s">
        <v>89</v>
      </c>
      <c r="DB2" s="29" t="s">
        <v>89</v>
      </c>
      <c r="DC2" s="29" t="s">
        <v>83</v>
      </c>
      <c r="DD2" s="29" t="s">
        <v>82</v>
      </c>
      <c r="DE2" s="29" t="s">
        <v>81</v>
      </c>
      <c r="DF2" s="29" t="s">
        <v>87</v>
      </c>
      <c r="DG2" s="29" t="s">
        <v>88</v>
      </c>
      <c r="DH2" s="29" t="s">
        <v>89</v>
      </c>
      <c r="DI2" s="29" t="s">
        <v>89</v>
      </c>
      <c r="DJ2" s="29" t="s">
        <v>83</v>
      </c>
      <c r="DK2" s="29" t="s">
        <v>82</v>
      </c>
      <c r="DL2" s="29" t="s">
        <v>81</v>
      </c>
      <c r="DM2" s="29" t="s">
        <v>87</v>
      </c>
      <c r="DN2" s="29" t="s">
        <v>88</v>
      </c>
      <c r="DO2" s="29" t="s">
        <v>89</v>
      </c>
      <c r="DP2" s="29" t="s">
        <v>89</v>
      </c>
      <c r="DQ2" s="29" t="s">
        <v>83</v>
      </c>
      <c r="DR2" s="29" t="s">
        <v>82</v>
      </c>
      <c r="DS2" s="29" t="s">
        <v>81</v>
      </c>
      <c r="DT2" s="29" t="s">
        <v>87</v>
      </c>
      <c r="DU2" s="29" t="s">
        <v>88</v>
      </c>
      <c r="DV2" s="29" t="s">
        <v>89</v>
      </c>
      <c r="DW2" s="29" t="s">
        <v>89</v>
      </c>
      <c r="DX2" s="29" t="s">
        <v>83</v>
      </c>
      <c r="DY2" s="29" t="s">
        <v>82</v>
      </c>
      <c r="DZ2" s="29" t="s">
        <v>81</v>
      </c>
      <c r="EA2" s="29" t="s">
        <v>87</v>
      </c>
      <c r="EB2" s="29" t="s">
        <v>88</v>
      </c>
      <c r="EC2" s="29" t="s">
        <v>89</v>
      </c>
      <c r="ED2" s="29" t="s">
        <v>89</v>
      </c>
      <c r="EE2" s="29" t="s">
        <v>83</v>
      </c>
      <c r="EF2" s="29" t="s">
        <v>82</v>
      </c>
      <c r="EG2" s="29" t="s">
        <v>81</v>
      </c>
      <c r="EH2" s="29" t="s">
        <v>87</v>
      </c>
      <c r="EI2" s="29" t="s">
        <v>88</v>
      </c>
      <c r="EJ2" s="29" t="s">
        <v>89</v>
      </c>
      <c r="EK2" s="29" t="s">
        <v>89</v>
      </c>
      <c r="EL2" s="29" t="s">
        <v>83</v>
      </c>
      <c r="EM2" s="29" t="s">
        <v>82</v>
      </c>
      <c r="EN2" s="29" t="s">
        <v>81</v>
      </c>
      <c r="EO2" s="29" t="s">
        <v>87</v>
      </c>
      <c r="EP2" s="29" t="s">
        <v>88</v>
      </c>
      <c r="EQ2" s="29" t="s">
        <v>89</v>
      </c>
      <c r="ER2" s="29" t="s">
        <v>89</v>
      </c>
      <c r="ES2" s="29" t="s">
        <v>83</v>
      </c>
      <c r="ET2" s="29" t="s">
        <v>82</v>
      </c>
      <c r="EU2" s="29" t="s">
        <v>81</v>
      </c>
      <c r="EV2" s="29" t="s">
        <v>87</v>
      </c>
      <c r="EW2" s="29" t="s">
        <v>88</v>
      </c>
      <c r="EX2" s="29" t="s">
        <v>89</v>
      </c>
      <c r="EY2" s="29" t="s">
        <v>89</v>
      </c>
      <c r="EZ2" s="29" t="s">
        <v>83</v>
      </c>
      <c r="FA2" s="29" t="s">
        <v>82</v>
      </c>
      <c r="FB2" s="29" t="s">
        <v>81</v>
      </c>
      <c r="FC2" s="29" t="s">
        <v>87</v>
      </c>
      <c r="FD2" s="29" t="s">
        <v>88</v>
      </c>
      <c r="FE2" s="29" t="s">
        <v>89</v>
      </c>
      <c r="FF2" s="29" t="s">
        <v>89</v>
      </c>
      <c r="FG2" s="29" t="s">
        <v>83</v>
      </c>
      <c r="FH2" s="29" t="s">
        <v>82</v>
      </c>
      <c r="FI2" s="29" t="s">
        <v>81</v>
      </c>
      <c r="FJ2" s="29" t="s">
        <v>87</v>
      </c>
      <c r="FK2" s="29" t="s">
        <v>88</v>
      </c>
      <c r="FL2" s="29" t="s">
        <v>89</v>
      </c>
      <c r="FM2" s="29" t="s">
        <v>89</v>
      </c>
      <c r="FN2" s="29" t="s">
        <v>83</v>
      </c>
      <c r="FO2" s="29" t="s">
        <v>82</v>
      </c>
      <c r="FP2" s="29" t="s">
        <v>81</v>
      </c>
      <c r="FQ2" s="29" t="s">
        <v>87</v>
      </c>
      <c r="FR2" s="29" t="s">
        <v>88</v>
      </c>
      <c r="FS2" s="29" t="s">
        <v>89</v>
      </c>
      <c r="FT2" s="29" t="s">
        <v>89</v>
      </c>
      <c r="FU2" s="29" t="s">
        <v>83</v>
      </c>
      <c r="FV2" s="29" t="s">
        <v>82</v>
      </c>
      <c r="FW2" s="29" t="s">
        <v>81</v>
      </c>
      <c r="FX2" s="29" t="s">
        <v>87</v>
      </c>
      <c r="FY2" s="29" t="s">
        <v>88</v>
      </c>
      <c r="FZ2" s="29" t="s">
        <v>89</v>
      </c>
      <c r="GA2" s="29" t="s">
        <v>89</v>
      </c>
      <c r="GB2" s="29" t="s">
        <v>83</v>
      </c>
      <c r="GC2" s="29" t="s">
        <v>82</v>
      </c>
      <c r="GD2" s="29" t="s">
        <v>81</v>
      </c>
      <c r="GE2" s="29" t="s">
        <v>87</v>
      </c>
      <c r="GF2" s="29" t="s">
        <v>88</v>
      </c>
      <c r="GG2" s="29" t="s">
        <v>89</v>
      </c>
      <c r="GH2" s="29" t="s">
        <v>89</v>
      </c>
      <c r="GI2" s="29" t="s">
        <v>83</v>
      </c>
      <c r="GJ2" s="29" t="s">
        <v>82</v>
      </c>
      <c r="GK2" s="29" t="s">
        <v>81</v>
      </c>
      <c r="GL2" s="29" t="s">
        <v>87</v>
      </c>
      <c r="GM2" s="29" t="s">
        <v>88</v>
      </c>
      <c r="GN2" s="29" t="s">
        <v>89</v>
      </c>
      <c r="GO2" s="29" t="s">
        <v>89</v>
      </c>
      <c r="GP2" s="29" t="s">
        <v>83</v>
      </c>
      <c r="GQ2" s="29" t="s">
        <v>82</v>
      </c>
      <c r="GR2" s="29" t="s">
        <v>81</v>
      </c>
      <c r="GS2" s="29" t="s">
        <v>87</v>
      </c>
      <c r="GT2" s="29" t="s">
        <v>88</v>
      </c>
      <c r="GU2" s="29" t="s">
        <v>89</v>
      </c>
      <c r="GV2" s="29" t="s">
        <v>89</v>
      </c>
      <c r="GW2" s="29" t="s">
        <v>83</v>
      </c>
      <c r="GX2" s="29" t="s">
        <v>82</v>
      </c>
      <c r="GY2" s="29" t="s">
        <v>81</v>
      </c>
      <c r="GZ2" s="29" t="s">
        <v>87</v>
      </c>
      <c r="HA2" s="29" t="s">
        <v>88</v>
      </c>
      <c r="HB2" s="29" t="s">
        <v>89</v>
      </c>
      <c r="HC2" s="29" t="s">
        <v>89</v>
      </c>
      <c r="HD2" s="29" t="s">
        <v>83</v>
      </c>
      <c r="HE2" s="29" t="s">
        <v>82</v>
      </c>
      <c r="HF2" s="29" t="s">
        <v>81</v>
      </c>
      <c r="HG2" s="29" t="s">
        <v>87</v>
      </c>
      <c r="HH2" s="29" t="s">
        <v>88</v>
      </c>
      <c r="HI2" s="29" t="s">
        <v>89</v>
      </c>
      <c r="HJ2" s="29" t="s">
        <v>89</v>
      </c>
      <c r="HK2" s="29" t="s">
        <v>83</v>
      </c>
      <c r="HL2" s="29" t="s">
        <v>82</v>
      </c>
      <c r="HM2" s="29" t="s">
        <v>81</v>
      </c>
      <c r="HN2" s="29" t="s">
        <v>87</v>
      </c>
      <c r="HO2" s="29" t="s">
        <v>88</v>
      </c>
      <c r="HP2" s="29" t="s">
        <v>89</v>
      </c>
      <c r="HQ2" s="29" t="s">
        <v>89</v>
      </c>
      <c r="HR2" s="29" t="s">
        <v>83</v>
      </c>
      <c r="HS2" s="29" t="s">
        <v>82</v>
      </c>
      <c r="HT2" s="29" t="s">
        <v>81</v>
      </c>
      <c r="HU2" s="29" t="s">
        <v>87</v>
      </c>
      <c r="HV2" s="29" t="s">
        <v>88</v>
      </c>
      <c r="HW2" s="29" t="s">
        <v>89</v>
      </c>
      <c r="HX2" s="29" t="s">
        <v>89</v>
      </c>
      <c r="HY2" s="29" t="s">
        <v>83</v>
      </c>
      <c r="HZ2" s="29" t="s">
        <v>82</v>
      </c>
      <c r="IA2" s="29" t="s">
        <v>81</v>
      </c>
      <c r="IB2" s="29" t="s">
        <v>87</v>
      </c>
      <c r="IC2" s="29" t="s">
        <v>88</v>
      </c>
      <c r="ID2" s="29" t="s">
        <v>89</v>
      </c>
      <c r="IE2" s="29" t="s">
        <v>89</v>
      </c>
      <c r="IF2" s="29" t="s">
        <v>83</v>
      </c>
      <c r="IG2" s="29" t="s">
        <v>82</v>
      </c>
      <c r="IH2" s="29" t="s">
        <v>81</v>
      </c>
      <c r="II2" s="29" t="s">
        <v>87</v>
      </c>
      <c r="IJ2" s="29" t="s">
        <v>88</v>
      </c>
      <c r="IK2" s="29" t="s">
        <v>89</v>
      </c>
      <c r="IL2" s="29" t="s">
        <v>89</v>
      </c>
      <c r="IM2" s="29" t="s">
        <v>83</v>
      </c>
      <c r="IN2" s="29" t="s">
        <v>82</v>
      </c>
      <c r="IO2" s="29" t="s">
        <v>81</v>
      </c>
      <c r="IP2" s="29" t="s">
        <v>87</v>
      </c>
      <c r="IQ2" s="29" t="s">
        <v>88</v>
      </c>
      <c r="IR2" s="29" t="s">
        <v>89</v>
      </c>
      <c r="IS2" s="29" t="s">
        <v>89</v>
      </c>
      <c r="IT2" s="29" t="s">
        <v>83</v>
      </c>
      <c r="IU2" s="29" t="s">
        <v>82</v>
      </c>
      <c r="IV2" s="29" t="s">
        <v>81</v>
      </c>
      <c r="IW2" s="29" t="s">
        <v>87</v>
      </c>
      <c r="IX2" s="29" t="s">
        <v>88</v>
      </c>
      <c r="IY2" s="29" t="s">
        <v>89</v>
      </c>
      <c r="IZ2" s="29" t="s">
        <v>89</v>
      </c>
      <c r="JA2" s="29" t="s">
        <v>83</v>
      </c>
      <c r="JB2" s="29" t="s">
        <v>82</v>
      </c>
      <c r="JC2" s="29" t="s">
        <v>81</v>
      </c>
      <c r="JD2" s="29" t="s">
        <v>87</v>
      </c>
      <c r="JE2" s="29" t="s">
        <v>88</v>
      </c>
      <c r="JF2" s="29" t="s">
        <v>89</v>
      </c>
      <c r="JG2" s="29" t="s">
        <v>89</v>
      </c>
      <c r="JH2" s="29" t="s">
        <v>83</v>
      </c>
      <c r="JI2" s="29" t="s">
        <v>82</v>
      </c>
      <c r="JJ2" s="29" t="s">
        <v>81</v>
      </c>
      <c r="JK2" s="29" t="s">
        <v>87</v>
      </c>
      <c r="JL2" s="29" t="s">
        <v>88</v>
      </c>
      <c r="JM2" s="29" t="s">
        <v>89</v>
      </c>
      <c r="JN2" s="29" t="s">
        <v>89</v>
      </c>
      <c r="JO2" s="29" t="s">
        <v>83</v>
      </c>
      <c r="JP2" s="29" t="s">
        <v>82</v>
      </c>
      <c r="JQ2" s="29" t="s">
        <v>81</v>
      </c>
      <c r="JR2" s="29" t="s">
        <v>87</v>
      </c>
      <c r="JS2" s="29" t="s">
        <v>88</v>
      </c>
      <c r="JT2" s="29" t="s">
        <v>89</v>
      </c>
      <c r="JU2" s="29" t="s">
        <v>89</v>
      </c>
      <c r="JV2" s="29" t="s">
        <v>83</v>
      </c>
      <c r="JW2" s="29" t="s">
        <v>82</v>
      </c>
      <c r="JX2" s="29" t="s">
        <v>81</v>
      </c>
      <c r="JY2" s="29" t="s">
        <v>87</v>
      </c>
      <c r="JZ2" s="29" t="s">
        <v>88</v>
      </c>
      <c r="KA2" s="29" t="s">
        <v>89</v>
      </c>
      <c r="KB2" s="29" t="s">
        <v>89</v>
      </c>
      <c r="KC2" s="29" t="s">
        <v>83</v>
      </c>
      <c r="KD2" s="29" t="s">
        <v>82</v>
      </c>
      <c r="KE2" s="29" t="s">
        <v>81</v>
      </c>
      <c r="KF2" s="29" t="s">
        <v>87</v>
      </c>
      <c r="KG2" s="29" t="s">
        <v>88</v>
      </c>
      <c r="KH2" s="29" t="s">
        <v>89</v>
      </c>
      <c r="KI2" s="29" t="s">
        <v>89</v>
      </c>
      <c r="KJ2" s="29" t="s">
        <v>83</v>
      </c>
      <c r="KK2" s="29" t="s">
        <v>82</v>
      </c>
      <c r="KL2" s="29" t="s">
        <v>81</v>
      </c>
      <c r="KM2" s="29" t="s">
        <v>87</v>
      </c>
      <c r="KN2" s="29" t="s">
        <v>88</v>
      </c>
      <c r="KO2" s="29" t="s">
        <v>89</v>
      </c>
      <c r="KP2" s="29" t="s">
        <v>89</v>
      </c>
      <c r="KQ2" s="29" t="s">
        <v>83</v>
      </c>
      <c r="KR2" s="29" t="s">
        <v>82</v>
      </c>
      <c r="KS2" s="29" t="s">
        <v>81</v>
      </c>
      <c r="KT2" s="29" t="s">
        <v>87</v>
      </c>
      <c r="KU2" s="29" t="s">
        <v>88</v>
      </c>
      <c r="KV2" s="29" t="s">
        <v>89</v>
      </c>
      <c r="KW2" s="29" t="s">
        <v>89</v>
      </c>
      <c r="KX2" s="29" t="s">
        <v>83</v>
      </c>
      <c r="KY2" s="29" t="s">
        <v>82</v>
      </c>
      <c r="KZ2" s="29" t="s">
        <v>81</v>
      </c>
      <c r="LA2" s="29" t="s">
        <v>87</v>
      </c>
      <c r="LB2" s="29" t="s">
        <v>88</v>
      </c>
      <c r="LC2" s="29" t="s">
        <v>89</v>
      </c>
      <c r="LD2" s="29" t="s">
        <v>89</v>
      </c>
      <c r="LE2" s="29" t="s">
        <v>83</v>
      </c>
      <c r="LF2" s="29" t="s">
        <v>82</v>
      </c>
      <c r="LG2" s="29" t="s">
        <v>81</v>
      </c>
      <c r="LH2" s="29" t="s">
        <v>87</v>
      </c>
      <c r="LI2" s="29" t="s">
        <v>88</v>
      </c>
      <c r="LJ2" s="29" t="s">
        <v>89</v>
      </c>
      <c r="LK2" s="29" t="s">
        <v>89</v>
      </c>
      <c r="LL2" s="29" t="s">
        <v>83</v>
      </c>
      <c r="LM2" s="29" t="s">
        <v>82</v>
      </c>
      <c r="LN2" s="29" t="s">
        <v>81</v>
      </c>
      <c r="LO2" s="29" t="s">
        <v>87</v>
      </c>
      <c r="LP2" s="29" t="s">
        <v>88</v>
      </c>
      <c r="LQ2" s="29" t="s">
        <v>89</v>
      </c>
      <c r="LR2" s="29" t="s">
        <v>89</v>
      </c>
      <c r="LS2" s="29" t="s">
        <v>83</v>
      </c>
      <c r="LT2" s="29" t="s">
        <v>82</v>
      </c>
      <c r="LU2" s="29" t="s">
        <v>81</v>
      </c>
      <c r="LV2" s="29" t="s">
        <v>87</v>
      </c>
      <c r="LW2" s="29" t="s">
        <v>88</v>
      </c>
      <c r="LX2" s="29" t="s">
        <v>89</v>
      </c>
      <c r="LY2" s="29" t="s">
        <v>89</v>
      </c>
      <c r="LZ2" s="29" t="s">
        <v>83</v>
      </c>
      <c r="MA2" s="29" t="s">
        <v>82</v>
      </c>
      <c r="MB2" s="29" t="s">
        <v>81</v>
      </c>
      <c r="MC2" s="29" t="s">
        <v>87</v>
      </c>
      <c r="MD2" s="29" t="s">
        <v>88</v>
      </c>
      <c r="ME2" s="29" t="s">
        <v>89</v>
      </c>
      <c r="MF2" s="29" t="s">
        <v>89</v>
      </c>
      <c r="MG2" s="29" t="s">
        <v>83</v>
      </c>
      <c r="MH2" s="29" t="s">
        <v>82</v>
      </c>
      <c r="MI2" s="29" t="s">
        <v>81</v>
      </c>
      <c r="MJ2" s="29" t="s">
        <v>87</v>
      </c>
      <c r="MK2" s="29" t="s">
        <v>88</v>
      </c>
      <c r="ML2" s="29" t="s">
        <v>89</v>
      </c>
      <c r="MM2" s="29" t="s">
        <v>89</v>
      </c>
      <c r="MN2" s="29" t="s">
        <v>83</v>
      </c>
      <c r="MO2" s="29" t="s">
        <v>82</v>
      </c>
      <c r="MP2" s="29" t="s">
        <v>81</v>
      </c>
      <c r="MQ2" s="29" t="s">
        <v>87</v>
      </c>
      <c r="MR2" s="29" t="s">
        <v>88</v>
      </c>
      <c r="MS2" s="29" t="s">
        <v>89</v>
      </c>
      <c r="MT2" s="29" t="s">
        <v>89</v>
      </c>
      <c r="MU2" s="29" t="s">
        <v>83</v>
      </c>
      <c r="MV2" s="29" t="s">
        <v>82</v>
      </c>
      <c r="MW2" s="29" t="s">
        <v>81</v>
      </c>
      <c r="MX2" s="29" t="s">
        <v>87</v>
      </c>
      <c r="MY2" s="29" t="s">
        <v>88</v>
      </c>
      <c r="MZ2" s="29" t="s">
        <v>89</v>
      </c>
      <c r="NA2" s="29" t="s">
        <v>89</v>
      </c>
    </row>
    <row r="3" spans="1:365" s="30" customFormat="1" ht="22.2" customHeight="1" x14ac:dyDescent="0.3">
      <c r="A3" s="1" t="s">
        <v>85</v>
      </c>
      <c r="B3" s="1" t="s">
        <v>80</v>
      </c>
      <c r="C3" s="1" t="s">
        <v>79</v>
      </c>
      <c r="D3" s="1" t="s">
        <v>1</v>
      </c>
      <c r="E3" s="1" t="s">
        <v>91</v>
      </c>
      <c r="F3" s="1" t="s">
        <v>92</v>
      </c>
      <c r="G3" s="1" t="s">
        <v>86</v>
      </c>
      <c r="H3" s="1"/>
      <c r="I3" s="31">
        <v>46111</v>
      </c>
      <c r="J3" s="31">
        <v>46112</v>
      </c>
      <c r="K3" s="31">
        <v>46113</v>
      </c>
      <c r="L3" s="31">
        <v>46114</v>
      </c>
      <c r="M3" s="31">
        <v>46115</v>
      </c>
      <c r="N3" s="31">
        <v>46116</v>
      </c>
      <c r="O3" s="31">
        <v>46117</v>
      </c>
      <c r="P3" s="31">
        <v>46118</v>
      </c>
      <c r="Q3" s="31">
        <v>46119</v>
      </c>
      <c r="R3" s="31">
        <v>46120</v>
      </c>
      <c r="S3" s="31">
        <v>46121</v>
      </c>
      <c r="T3" s="31">
        <v>46122</v>
      </c>
      <c r="U3" s="31">
        <v>46123</v>
      </c>
      <c r="V3" s="31">
        <v>46124</v>
      </c>
      <c r="W3" s="31">
        <v>46125</v>
      </c>
      <c r="X3" s="31">
        <v>46126</v>
      </c>
      <c r="Y3" s="31">
        <v>46127</v>
      </c>
      <c r="Z3" s="31">
        <v>46128</v>
      </c>
      <c r="AA3" s="31">
        <v>46129</v>
      </c>
      <c r="AB3" s="31">
        <v>46130</v>
      </c>
      <c r="AC3" s="31">
        <v>46131</v>
      </c>
      <c r="AD3" s="31">
        <v>46132</v>
      </c>
      <c r="AE3" s="31">
        <v>46133</v>
      </c>
      <c r="AF3" s="31">
        <v>46134</v>
      </c>
      <c r="AG3" s="31">
        <v>46135</v>
      </c>
      <c r="AH3" s="31">
        <v>46136</v>
      </c>
      <c r="AI3" s="31">
        <v>46137</v>
      </c>
      <c r="AJ3" s="31">
        <v>46138</v>
      </c>
      <c r="AK3" s="31">
        <v>46139</v>
      </c>
      <c r="AL3" s="31">
        <v>46140</v>
      </c>
      <c r="AM3" s="31">
        <v>46141</v>
      </c>
      <c r="AN3" s="31">
        <v>46142</v>
      </c>
      <c r="AO3" s="31">
        <v>46143</v>
      </c>
      <c r="AP3" s="31">
        <v>46144</v>
      </c>
      <c r="AQ3" s="31">
        <v>46145</v>
      </c>
      <c r="AR3" s="31">
        <v>46146</v>
      </c>
      <c r="AS3" s="31">
        <v>46147</v>
      </c>
      <c r="AT3" s="31">
        <v>46148</v>
      </c>
      <c r="AU3" s="31">
        <v>46149</v>
      </c>
      <c r="AV3" s="31">
        <v>46150</v>
      </c>
      <c r="AW3" s="31">
        <v>46151</v>
      </c>
      <c r="AX3" s="31">
        <v>46152</v>
      </c>
      <c r="AY3" s="31">
        <v>46153</v>
      </c>
      <c r="AZ3" s="31">
        <v>46154</v>
      </c>
      <c r="BA3" s="31">
        <v>46155</v>
      </c>
      <c r="BB3" s="31">
        <v>46156</v>
      </c>
      <c r="BC3" s="31">
        <v>46157</v>
      </c>
      <c r="BD3" s="31">
        <v>46158</v>
      </c>
      <c r="BE3" s="31">
        <v>46159</v>
      </c>
      <c r="BF3" s="31">
        <v>46160</v>
      </c>
      <c r="BG3" s="31">
        <v>46161</v>
      </c>
      <c r="BH3" s="31">
        <v>46162</v>
      </c>
      <c r="BI3" s="31">
        <v>46163</v>
      </c>
      <c r="BJ3" s="31">
        <v>46164</v>
      </c>
      <c r="BK3" s="31">
        <v>46165</v>
      </c>
      <c r="BL3" s="31">
        <v>46166</v>
      </c>
      <c r="BM3" s="31">
        <v>46167</v>
      </c>
      <c r="BN3" s="31">
        <v>46168</v>
      </c>
      <c r="BO3" s="31">
        <v>46169</v>
      </c>
      <c r="BP3" s="31">
        <v>46170</v>
      </c>
      <c r="BQ3" s="31">
        <v>46171</v>
      </c>
      <c r="BR3" s="31">
        <v>46172</v>
      </c>
      <c r="BS3" s="31">
        <v>46173</v>
      </c>
      <c r="BT3" s="31">
        <v>46174</v>
      </c>
      <c r="BU3" s="31">
        <v>46175</v>
      </c>
      <c r="BV3" s="31">
        <v>46176</v>
      </c>
      <c r="BW3" s="31">
        <v>46177</v>
      </c>
      <c r="BX3" s="31">
        <v>46178</v>
      </c>
      <c r="BY3" s="31">
        <v>46179</v>
      </c>
      <c r="BZ3" s="31">
        <v>46180</v>
      </c>
      <c r="CA3" s="31">
        <v>46181</v>
      </c>
      <c r="CB3" s="31">
        <v>46182</v>
      </c>
      <c r="CC3" s="31">
        <v>46183</v>
      </c>
      <c r="CD3" s="31">
        <v>46184</v>
      </c>
      <c r="CE3" s="31">
        <v>46185</v>
      </c>
      <c r="CF3" s="31">
        <v>46186</v>
      </c>
      <c r="CG3" s="31">
        <v>46187</v>
      </c>
      <c r="CH3" s="31">
        <v>46188</v>
      </c>
      <c r="CI3" s="31">
        <v>46189</v>
      </c>
      <c r="CJ3" s="31">
        <v>46190</v>
      </c>
      <c r="CK3" s="31">
        <v>46191</v>
      </c>
      <c r="CL3" s="31">
        <v>46192</v>
      </c>
      <c r="CM3" s="31">
        <v>46193</v>
      </c>
      <c r="CN3" s="31">
        <v>46194</v>
      </c>
      <c r="CO3" s="31">
        <v>46195</v>
      </c>
      <c r="CP3" s="31">
        <v>46196</v>
      </c>
      <c r="CQ3" s="31">
        <v>46197</v>
      </c>
      <c r="CR3" s="31">
        <v>46198</v>
      </c>
      <c r="CS3" s="31">
        <v>46199</v>
      </c>
      <c r="CT3" s="31">
        <v>46200</v>
      </c>
      <c r="CU3" s="31">
        <v>46201</v>
      </c>
      <c r="CV3" s="31">
        <v>46202</v>
      </c>
      <c r="CW3" s="31">
        <v>46203</v>
      </c>
      <c r="CX3" s="31">
        <v>46204</v>
      </c>
      <c r="CY3" s="31">
        <v>46205</v>
      </c>
      <c r="CZ3" s="31">
        <v>46206</v>
      </c>
      <c r="DA3" s="31">
        <v>46207</v>
      </c>
      <c r="DB3" s="31">
        <v>46208</v>
      </c>
      <c r="DC3" s="31">
        <v>46209</v>
      </c>
      <c r="DD3" s="31">
        <v>46210</v>
      </c>
      <c r="DE3" s="31">
        <v>46211</v>
      </c>
      <c r="DF3" s="31">
        <v>46212</v>
      </c>
      <c r="DG3" s="31">
        <v>46213</v>
      </c>
      <c r="DH3" s="31">
        <v>46214</v>
      </c>
      <c r="DI3" s="31">
        <v>46215</v>
      </c>
      <c r="DJ3" s="31">
        <v>46216</v>
      </c>
      <c r="DK3" s="31">
        <v>46217</v>
      </c>
      <c r="DL3" s="31">
        <v>46218</v>
      </c>
      <c r="DM3" s="31">
        <v>46219</v>
      </c>
      <c r="DN3" s="31">
        <v>46220</v>
      </c>
      <c r="DO3" s="31">
        <v>46221</v>
      </c>
      <c r="DP3" s="31">
        <v>46222</v>
      </c>
      <c r="DQ3" s="31">
        <v>46223</v>
      </c>
      <c r="DR3" s="31">
        <v>46224</v>
      </c>
      <c r="DS3" s="31">
        <v>46225</v>
      </c>
      <c r="DT3" s="31">
        <v>46226</v>
      </c>
      <c r="DU3" s="31">
        <v>46227</v>
      </c>
      <c r="DV3" s="31">
        <v>46228</v>
      </c>
      <c r="DW3" s="31">
        <v>46229</v>
      </c>
      <c r="DX3" s="31">
        <v>46230</v>
      </c>
      <c r="DY3" s="31">
        <v>46231</v>
      </c>
      <c r="DZ3" s="31">
        <v>46232</v>
      </c>
      <c r="EA3" s="31">
        <v>46233</v>
      </c>
      <c r="EB3" s="31">
        <v>46234</v>
      </c>
      <c r="EC3" s="31">
        <v>46235</v>
      </c>
      <c r="ED3" s="31">
        <v>46236</v>
      </c>
      <c r="EE3" s="31">
        <v>46237</v>
      </c>
      <c r="EF3" s="31">
        <v>46238</v>
      </c>
      <c r="EG3" s="31">
        <v>46239</v>
      </c>
      <c r="EH3" s="31">
        <v>46240</v>
      </c>
      <c r="EI3" s="31">
        <v>46241</v>
      </c>
      <c r="EJ3" s="31">
        <v>46242</v>
      </c>
      <c r="EK3" s="31">
        <v>46243</v>
      </c>
      <c r="EL3" s="31">
        <v>46244</v>
      </c>
      <c r="EM3" s="31">
        <v>46245</v>
      </c>
      <c r="EN3" s="31">
        <v>46246</v>
      </c>
      <c r="EO3" s="31">
        <v>46247</v>
      </c>
      <c r="EP3" s="31">
        <v>46248</v>
      </c>
      <c r="EQ3" s="31">
        <v>46249</v>
      </c>
      <c r="ER3" s="31">
        <v>46250</v>
      </c>
      <c r="ES3" s="31">
        <v>46251</v>
      </c>
      <c r="ET3" s="31">
        <v>46252</v>
      </c>
      <c r="EU3" s="31">
        <v>46253</v>
      </c>
      <c r="EV3" s="31">
        <v>46254</v>
      </c>
      <c r="EW3" s="31">
        <v>46255</v>
      </c>
      <c r="EX3" s="31">
        <v>46256</v>
      </c>
      <c r="EY3" s="31">
        <v>46257</v>
      </c>
      <c r="EZ3" s="31">
        <v>46258</v>
      </c>
      <c r="FA3" s="31">
        <v>46259</v>
      </c>
      <c r="FB3" s="31">
        <v>46260</v>
      </c>
      <c r="FC3" s="31">
        <v>46261</v>
      </c>
      <c r="FD3" s="31">
        <v>46262</v>
      </c>
      <c r="FE3" s="31">
        <v>46263</v>
      </c>
      <c r="FF3" s="31">
        <v>46264</v>
      </c>
      <c r="FG3" s="31">
        <v>46265</v>
      </c>
      <c r="FH3" s="31">
        <v>46266</v>
      </c>
      <c r="FI3" s="31">
        <v>46267</v>
      </c>
      <c r="FJ3" s="31">
        <v>46268</v>
      </c>
      <c r="FK3" s="31">
        <v>46269</v>
      </c>
      <c r="FL3" s="31">
        <v>46270</v>
      </c>
      <c r="FM3" s="31">
        <v>46271</v>
      </c>
      <c r="FN3" s="31">
        <v>46272</v>
      </c>
      <c r="FO3" s="31">
        <v>46273</v>
      </c>
      <c r="FP3" s="31">
        <v>46274</v>
      </c>
      <c r="FQ3" s="31">
        <v>46275</v>
      </c>
      <c r="FR3" s="31">
        <v>46276</v>
      </c>
      <c r="FS3" s="31">
        <v>46277</v>
      </c>
      <c r="FT3" s="31">
        <v>46278</v>
      </c>
      <c r="FU3" s="31">
        <v>46279</v>
      </c>
      <c r="FV3" s="31">
        <v>46280</v>
      </c>
      <c r="FW3" s="31">
        <v>46281</v>
      </c>
      <c r="FX3" s="31">
        <v>46282</v>
      </c>
      <c r="FY3" s="31">
        <v>46283</v>
      </c>
      <c r="FZ3" s="31">
        <v>46284</v>
      </c>
      <c r="GA3" s="31">
        <v>46285</v>
      </c>
      <c r="GB3" s="31">
        <v>46286</v>
      </c>
      <c r="GC3" s="31">
        <v>46287</v>
      </c>
      <c r="GD3" s="31">
        <v>46288</v>
      </c>
      <c r="GE3" s="31">
        <v>46289</v>
      </c>
      <c r="GF3" s="31">
        <v>46290</v>
      </c>
      <c r="GG3" s="31">
        <v>46291</v>
      </c>
      <c r="GH3" s="31">
        <v>46292</v>
      </c>
      <c r="GI3" s="31">
        <v>46293</v>
      </c>
      <c r="GJ3" s="31">
        <v>46294</v>
      </c>
      <c r="GK3" s="31">
        <v>46295</v>
      </c>
      <c r="GL3" s="31">
        <v>46296</v>
      </c>
      <c r="GM3" s="31">
        <v>46297</v>
      </c>
      <c r="GN3" s="31">
        <v>46298</v>
      </c>
      <c r="GO3" s="31">
        <v>46299</v>
      </c>
      <c r="GP3" s="31">
        <v>46300</v>
      </c>
      <c r="GQ3" s="31">
        <v>46301</v>
      </c>
      <c r="GR3" s="31">
        <v>46302</v>
      </c>
      <c r="GS3" s="31">
        <v>46303</v>
      </c>
      <c r="GT3" s="31">
        <v>46304</v>
      </c>
      <c r="GU3" s="31">
        <v>46305</v>
      </c>
      <c r="GV3" s="31">
        <v>46306</v>
      </c>
      <c r="GW3" s="31">
        <v>46307</v>
      </c>
      <c r="GX3" s="31">
        <v>46308</v>
      </c>
      <c r="GY3" s="31">
        <v>46309</v>
      </c>
      <c r="GZ3" s="31">
        <v>46310</v>
      </c>
      <c r="HA3" s="31">
        <v>46311</v>
      </c>
      <c r="HB3" s="31">
        <v>46312</v>
      </c>
      <c r="HC3" s="31">
        <v>46313</v>
      </c>
      <c r="HD3" s="31">
        <v>46314</v>
      </c>
      <c r="HE3" s="31">
        <v>46315</v>
      </c>
      <c r="HF3" s="31">
        <v>46316</v>
      </c>
      <c r="HG3" s="31">
        <v>46317</v>
      </c>
      <c r="HH3" s="31">
        <v>46318</v>
      </c>
      <c r="HI3" s="31">
        <v>46319</v>
      </c>
      <c r="HJ3" s="31">
        <v>46320</v>
      </c>
      <c r="HK3" s="31">
        <v>46321</v>
      </c>
      <c r="HL3" s="31">
        <v>46322</v>
      </c>
      <c r="HM3" s="31">
        <v>46323</v>
      </c>
      <c r="HN3" s="31">
        <v>46324</v>
      </c>
      <c r="HO3" s="31">
        <v>46325</v>
      </c>
      <c r="HP3" s="31">
        <v>46326</v>
      </c>
      <c r="HQ3" s="31">
        <v>46327</v>
      </c>
      <c r="HR3" s="31">
        <v>46328</v>
      </c>
      <c r="HS3" s="31">
        <v>46329</v>
      </c>
      <c r="HT3" s="31">
        <v>46330</v>
      </c>
      <c r="HU3" s="31">
        <v>46331</v>
      </c>
      <c r="HV3" s="31">
        <v>46332</v>
      </c>
      <c r="HW3" s="31">
        <v>46333</v>
      </c>
      <c r="HX3" s="31">
        <v>46334</v>
      </c>
      <c r="HY3" s="31">
        <v>46335</v>
      </c>
      <c r="HZ3" s="31">
        <v>46336</v>
      </c>
      <c r="IA3" s="31">
        <v>46337</v>
      </c>
      <c r="IB3" s="31">
        <v>46338</v>
      </c>
      <c r="IC3" s="31">
        <v>46339</v>
      </c>
      <c r="ID3" s="31">
        <v>46340</v>
      </c>
      <c r="IE3" s="31">
        <v>46341</v>
      </c>
      <c r="IF3" s="31">
        <v>46342</v>
      </c>
      <c r="IG3" s="31">
        <v>46343</v>
      </c>
      <c r="IH3" s="31">
        <v>46344</v>
      </c>
      <c r="II3" s="31">
        <v>46345</v>
      </c>
      <c r="IJ3" s="31">
        <v>46346</v>
      </c>
      <c r="IK3" s="31">
        <v>46347</v>
      </c>
      <c r="IL3" s="31">
        <v>46348</v>
      </c>
      <c r="IM3" s="31">
        <v>46349</v>
      </c>
      <c r="IN3" s="31">
        <v>46350</v>
      </c>
      <c r="IO3" s="31">
        <v>46351</v>
      </c>
      <c r="IP3" s="31">
        <v>46352</v>
      </c>
      <c r="IQ3" s="31">
        <v>46353</v>
      </c>
      <c r="IR3" s="31">
        <v>46354</v>
      </c>
      <c r="IS3" s="31">
        <v>46355</v>
      </c>
      <c r="IT3" s="31">
        <v>46356</v>
      </c>
      <c r="IU3" s="31">
        <v>46357</v>
      </c>
      <c r="IV3" s="31">
        <v>46358</v>
      </c>
      <c r="IW3" s="31">
        <v>46359</v>
      </c>
      <c r="IX3" s="31">
        <v>46360</v>
      </c>
      <c r="IY3" s="31">
        <v>46361</v>
      </c>
      <c r="IZ3" s="31">
        <v>46362</v>
      </c>
      <c r="JA3" s="31">
        <v>46363</v>
      </c>
      <c r="JB3" s="31">
        <v>46364</v>
      </c>
      <c r="JC3" s="31">
        <v>46365</v>
      </c>
      <c r="JD3" s="31">
        <v>46366</v>
      </c>
      <c r="JE3" s="31">
        <v>46367</v>
      </c>
      <c r="JF3" s="31">
        <v>46368</v>
      </c>
      <c r="JG3" s="31">
        <v>46369</v>
      </c>
      <c r="JH3" s="31">
        <v>46370</v>
      </c>
      <c r="JI3" s="31">
        <v>46371</v>
      </c>
      <c r="JJ3" s="31">
        <v>46372</v>
      </c>
      <c r="JK3" s="31">
        <v>46373</v>
      </c>
      <c r="JL3" s="31">
        <v>46374</v>
      </c>
      <c r="JM3" s="31">
        <v>46375</v>
      </c>
      <c r="JN3" s="31">
        <v>46376</v>
      </c>
      <c r="JO3" s="31">
        <v>46377</v>
      </c>
      <c r="JP3" s="31">
        <v>46378</v>
      </c>
      <c r="JQ3" s="31">
        <v>46379</v>
      </c>
      <c r="JR3" s="31">
        <v>46380</v>
      </c>
      <c r="JS3" s="31">
        <v>46381</v>
      </c>
      <c r="JT3" s="31">
        <v>46382</v>
      </c>
      <c r="JU3" s="31">
        <v>46383</v>
      </c>
      <c r="JV3" s="31">
        <v>46384</v>
      </c>
      <c r="JW3" s="31">
        <v>46385</v>
      </c>
      <c r="JX3" s="31">
        <v>46386</v>
      </c>
      <c r="JY3" s="31">
        <v>46387</v>
      </c>
      <c r="JZ3" s="31">
        <v>46388</v>
      </c>
      <c r="KA3" s="31">
        <v>46389</v>
      </c>
      <c r="KB3" s="31">
        <v>46390</v>
      </c>
      <c r="KC3" s="31">
        <v>46391</v>
      </c>
      <c r="KD3" s="31">
        <v>46392</v>
      </c>
      <c r="KE3" s="31">
        <v>46393</v>
      </c>
      <c r="KF3" s="31">
        <v>46394</v>
      </c>
      <c r="KG3" s="31">
        <v>46395</v>
      </c>
      <c r="KH3" s="31">
        <v>46396</v>
      </c>
      <c r="KI3" s="31">
        <v>46397</v>
      </c>
      <c r="KJ3" s="31">
        <v>46398</v>
      </c>
      <c r="KK3" s="31">
        <v>46399</v>
      </c>
      <c r="KL3" s="31">
        <v>46400</v>
      </c>
      <c r="KM3" s="31">
        <v>46401</v>
      </c>
      <c r="KN3" s="31">
        <v>46402</v>
      </c>
      <c r="KO3" s="31">
        <v>46403</v>
      </c>
      <c r="KP3" s="31">
        <v>46404</v>
      </c>
      <c r="KQ3" s="31">
        <v>46405</v>
      </c>
      <c r="KR3" s="31">
        <v>46406</v>
      </c>
      <c r="KS3" s="31">
        <v>46407</v>
      </c>
      <c r="KT3" s="31">
        <v>46408</v>
      </c>
      <c r="KU3" s="31">
        <v>46409</v>
      </c>
      <c r="KV3" s="31">
        <v>46410</v>
      </c>
      <c r="KW3" s="31">
        <v>46411</v>
      </c>
      <c r="KX3" s="31">
        <v>46412</v>
      </c>
      <c r="KY3" s="31">
        <v>46413</v>
      </c>
      <c r="KZ3" s="31">
        <v>46414</v>
      </c>
      <c r="LA3" s="31">
        <v>46415</v>
      </c>
      <c r="LB3" s="31">
        <v>46416</v>
      </c>
      <c r="LC3" s="31">
        <v>46417</v>
      </c>
      <c r="LD3" s="31">
        <v>46418</v>
      </c>
      <c r="LE3" s="31">
        <v>46419</v>
      </c>
      <c r="LF3" s="31">
        <v>46420</v>
      </c>
      <c r="LG3" s="31">
        <v>46421</v>
      </c>
      <c r="LH3" s="31">
        <v>46422</v>
      </c>
      <c r="LI3" s="31">
        <v>46423</v>
      </c>
      <c r="LJ3" s="31">
        <v>46424</v>
      </c>
      <c r="LK3" s="31">
        <v>46425</v>
      </c>
      <c r="LL3" s="31">
        <v>46426</v>
      </c>
      <c r="LM3" s="31">
        <v>46427</v>
      </c>
      <c r="LN3" s="31">
        <v>46428</v>
      </c>
      <c r="LO3" s="31">
        <v>46429</v>
      </c>
      <c r="LP3" s="31">
        <v>46430</v>
      </c>
      <c r="LQ3" s="31">
        <v>46431</v>
      </c>
      <c r="LR3" s="31">
        <v>46432</v>
      </c>
      <c r="LS3" s="31">
        <v>46433</v>
      </c>
      <c r="LT3" s="31">
        <v>46434</v>
      </c>
      <c r="LU3" s="31">
        <v>46435</v>
      </c>
      <c r="LV3" s="31">
        <v>46436</v>
      </c>
      <c r="LW3" s="31">
        <v>46437</v>
      </c>
      <c r="LX3" s="31">
        <v>46438</v>
      </c>
      <c r="LY3" s="31">
        <v>46439</v>
      </c>
      <c r="LZ3" s="31">
        <v>46440</v>
      </c>
      <c r="MA3" s="31">
        <v>46441</v>
      </c>
      <c r="MB3" s="31">
        <v>46442</v>
      </c>
      <c r="MC3" s="31">
        <v>46443</v>
      </c>
      <c r="MD3" s="31">
        <v>46444</v>
      </c>
      <c r="ME3" s="31">
        <v>46445</v>
      </c>
      <c r="MF3" s="31">
        <v>46446</v>
      </c>
      <c r="MG3" s="31">
        <v>46447</v>
      </c>
      <c r="MH3" s="31">
        <v>46448</v>
      </c>
      <c r="MI3" s="31">
        <v>46449</v>
      </c>
      <c r="MJ3" s="31">
        <v>46450</v>
      </c>
      <c r="MK3" s="31">
        <v>46451</v>
      </c>
      <c r="ML3" s="31">
        <v>46452</v>
      </c>
      <c r="MM3" s="31">
        <v>46453</v>
      </c>
      <c r="MN3" s="31">
        <v>46454</v>
      </c>
      <c r="MO3" s="31">
        <v>46455</v>
      </c>
      <c r="MP3" s="31">
        <v>46456</v>
      </c>
      <c r="MQ3" s="31">
        <v>46457</v>
      </c>
      <c r="MR3" s="31">
        <v>46458</v>
      </c>
      <c r="MS3" s="31">
        <v>46459</v>
      </c>
      <c r="MT3" s="31">
        <v>46460</v>
      </c>
      <c r="MU3" s="31">
        <v>46461</v>
      </c>
      <c r="MV3" s="31">
        <v>46462</v>
      </c>
      <c r="MW3" s="31">
        <v>46463</v>
      </c>
      <c r="MX3" s="31">
        <v>46464</v>
      </c>
      <c r="MY3" s="31">
        <v>46465</v>
      </c>
      <c r="MZ3" s="31">
        <v>46466</v>
      </c>
      <c r="NA3" s="31">
        <v>46467</v>
      </c>
    </row>
    <row r="4" spans="1:365" s="1" customFormat="1" ht="15.6" x14ac:dyDescent="0.3">
      <c r="A4" t="s">
        <v>90</v>
      </c>
      <c r="B4" s="3" t="str" cm="1">
        <f t="array" ref="B4">IFERROR(INDEX(KEY!$D$2:$D$23, MATCH(TRUE, _xlfn.BYROW(KEY!$F$2:$I$23, _xlfn.LAMBDA(_xlpm.r, COUNTIF(_xlpm.r, C4)&gt;0)), 0)), "")</f>
        <v xml:space="preserve">Willett &amp; Assoc. </v>
      </c>
      <c r="C4" s="3" t="s">
        <v>48</v>
      </c>
      <c r="D4" s="42">
        <v>46113</v>
      </c>
      <c r="E4" s="28">
        <v>10</v>
      </c>
      <c r="F4" s="5">
        <f>WORKDAY(D4,E4-1)</f>
        <v>46126</v>
      </c>
      <c r="G4" s="3"/>
      <c r="H4" s="3"/>
      <c r="I4" s="38"/>
      <c r="J4" s="39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39"/>
      <c r="AD4" s="39"/>
      <c r="AE4" s="39"/>
      <c r="AF4" s="39"/>
      <c r="AG4" s="38"/>
      <c r="AH4" s="38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</row>
    <row r="5" spans="1:365" x14ac:dyDescent="0.3">
      <c r="B5" s="3" t="str" cm="1">
        <f t="array" ref="B5">IFERROR(INDEX(KEY!$D$2:$D$23, MATCH(TRUE, _xlfn.BYROW(KEY!$F$2:$I$23, _xlfn.LAMBDA(_xlpm.r, COUNTIF(_xlpm.r, C5)&gt;0)), 0)), "")</f>
        <v xml:space="preserve">Willett &amp; Assoc. </v>
      </c>
      <c r="C5" s="3" t="s">
        <v>49</v>
      </c>
      <c r="D5" s="5">
        <f>_xlfn.XLOOKUP(G5,$C:$C,$F:$F)+1</f>
        <v>46127</v>
      </c>
      <c r="E5" s="28">
        <v>3</v>
      </c>
      <c r="F5" s="5">
        <f>WORKDAY(D5,E5-1)</f>
        <v>46129</v>
      </c>
      <c r="G5" s="3" t="s">
        <v>48</v>
      </c>
      <c r="H5" s="3"/>
      <c r="I5" s="38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</row>
    <row r="6" spans="1:365" x14ac:dyDescent="0.3">
      <c r="B6" s="3" t="str" cm="1">
        <f t="array" ref="B6">IFERROR(INDEX(KEY!$D$2:$D$23, MATCH(TRUE, _xlfn.BYROW(KEY!$F$2:$I$23, _xlfn.LAMBDA(_xlpm.r, COUNTIF(_xlpm.r, C6)&gt;0)), 0)), "")</f>
        <v xml:space="preserve">Willett &amp; Assoc. </v>
      </c>
      <c r="C6" s="3" t="s">
        <v>25</v>
      </c>
      <c r="D6" s="5">
        <f>_xlfn.XLOOKUP(G6,$C:$C,$F:$F)+1</f>
        <v>46130</v>
      </c>
      <c r="E6" s="28">
        <v>2</v>
      </c>
      <c r="F6" s="5">
        <f>WORKDAY(D6,E6-1)</f>
        <v>46132</v>
      </c>
      <c r="G6" s="3" t="s">
        <v>49</v>
      </c>
      <c r="H6" s="3"/>
      <c r="I6" s="38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</row>
    <row r="7" spans="1:365" x14ac:dyDescent="0.3">
      <c r="B7" s="3" t="str" cm="1">
        <f t="array" ref="B7">IFERROR(INDEX(KEY!$D$2:$D$23, MATCH(TRUE, _xlfn.BYROW(KEY!$F$2:$I$23, _xlfn.LAMBDA(_xlpm.r, COUNTIF(_xlpm.r, C7)&gt;0)), 0)), "")</f>
        <v xml:space="preserve">3C Concrete </v>
      </c>
      <c r="C7" s="3" t="s">
        <v>22</v>
      </c>
      <c r="D7" s="5">
        <f>_xlfn.XLOOKUP(G7,$C:$C,$F:$F)+1</f>
        <v>46133</v>
      </c>
      <c r="E7" s="28">
        <v>4</v>
      </c>
      <c r="F7" s="5">
        <f t="shared" ref="F7:F47" si="0">WORKDAY(D7,E7-1)</f>
        <v>46136</v>
      </c>
      <c r="G7" s="3" t="s">
        <v>25</v>
      </c>
      <c r="H7" s="3"/>
      <c r="I7" s="3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</row>
    <row r="8" spans="1:365" x14ac:dyDescent="0.3">
      <c r="B8" s="3" t="str" cm="1">
        <f t="array" ref="B8">IFERROR(INDEX(KEY!$D$2:$D$23, MATCH(TRUE, _xlfn.BYROW(KEY!$F$2:$I$23, _xlfn.LAMBDA(_xlpm.r, COUNTIF(_xlpm.r, C8)&gt;0)), 0)), "")</f>
        <v>Julio H</v>
      </c>
      <c r="C8" s="3" t="s">
        <v>50</v>
      </c>
      <c r="D8" s="5">
        <f>_xlfn.XLOOKUP(G8,$C:$C,$F:$F)+1</f>
        <v>46137</v>
      </c>
      <c r="E8" s="28">
        <v>6</v>
      </c>
      <c r="F8" s="5">
        <f t="shared" si="0"/>
        <v>46143</v>
      </c>
      <c r="G8" s="3" t="s">
        <v>22</v>
      </c>
      <c r="H8" s="3"/>
      <c r="I8" s="3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</row>
    <row r="9" spans="1:365" x14ac:dyDescent="0.3">
      <c r="B9" s="3" t="str" cm="1">
        <f t="array" ref="B9">IFERROR(INDEX(KEY!$D$2:$D$23, MATCH(TRUE, _xlfn.BYROW(KEY!$F$2:$I$23, _xlfn.LAMBDA(_xlpm.r, COUNTIF(_xlpm.r, C9)&gt;0)), 0)), "")</f>
        <v>Jacob Hayden</v>
      </c>
      <c r="C9" s="3" t="s">
        <v>37</v>
      </c>
      <c r="D9" s="5">
        <f>_xlfn.XLOOKUP(G9,$C:$C,$F:$F)+1</f>
        <v>46144</v>
      </c>
      <c r="E9" s="28">
        <v>2</v>
      </c>
      <c r="F9" s="5">
        <f t="shared" si="0"/>
        <v>46146</v>
      </c>
      <c r="G9" s="3" t="s">
        <v>50</v>
      </c>
      <c r="H9" s="3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</row>
    <row r="10" spans="1:365" x14ac:dyDescent="0.3">
      <c r="B10" s="3" t="str" cm="1">
        <f t="array" ref="B10">IFERROR(INDEX(KEY!$D$2:$D$23, MATCH(TRUE, _xlfn.BYROW(KEY!$F$2:$T$23, _xlfn.LAMBDA(_xlpm.r, COUNTIF(_xlpm.r, C10)&gt;0)), 0)), "")</f>
        <v>Tyler Champion</v>
      </c>
      <c r="C10" s="3" t="s">
        <v>65</v>
      </c>
      <c r="D10" s="5">
        <f>_xlfn.XLOOKUP(G10,$C:$C,$F:$F)+1</f>
        <v>46144</v>
      </c>
      <c r="E10" s="28">
        <v>2</v>
      </c>
      <c r="F10" s="5">
        <f t="shared" si="0"/>
        <v>46146</v>
      </c>
      <c r="G10" s="3" t="s">
        <v>50</v>
      </c>
      <c r="H10" s="3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</row>
    <row r="11" spans="1:365" x14ac:dyDescent="0.3">
      <c r="B11" s="3" t="str" cm="1">
        <f t="array" ref="B11">IFERROR(INDEX(KEY!$D$2:$D$23, MATCH(TRUE, _xlfn.BYROW(KEY!$F$2:$T$23, _xlfn.LAMBDA(_xlpm.r, COUNTIF(_xlpm.r, C11)&gt;0)), 0)), "")</f>
        <v xml:space="preserve">Willett &amp; Assoc. </v>
      </c>
      <c r="C11" s="3" t="s">
        <v>62</v>
      </c>
      <c r="D11" s="5">
        <f>_xlfn.XLOOKUP(G11,$C:$C,$F:$F)+1</f>
        <v>46147</v>
      </c>
      <c r="E11" s="28">
        <v>2</v>
      </c>
      <c r="F11" s="5">
        <f t="shared" si="0"/>
        <v>46148</v>
      </c>
      <c r="G11" s="3" t="s">
        <v>65</v>
      </c>
      <c r="H11" s="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</row>
    <row r="12" spans="1:365" x14ac:dyDescent="0.3">
      <c r="B12" s="3" t="str" cm="1">
        <f t="array" ref="B12">IFERROR(INDEX(KEY!$D$2:$D$23, MATCH(TRUE, _xlfn.BYROW(KEY!$F$2:$I$23, _xlfn.LAMBDA(_xlpm.r, COUNTIF(_xlpm.r, C12)&gt;0)), 0)), "")</f>
        <v>Adco</v>
      </c>
      <c r="C12" s="3" t="s">
        <v>60</v>
      </c>
      <c r="D12" s="5">
        <f>_xlfn.XLOOKUP(G12,$C:$C,$F:$F)+1</f>
        <v>46149</v>
      </c>
      <c r="E12" s="28">
        <v>2</v>
      </c>
      <c r="F12" s="5">
        <f t="shared" si="0"/>
        <v>46150</v>
      </c>
      <c r="G12" s="3" t="s">
        <v>62</v>
      </c>
      <c r="H12" s="3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</row>
    <row r="13" spans="1:365" x14ac:dyDescent="0.3">
      <c r="B13" s="3" t="str" cm="1">
        <f t="array" ref="B13">IFERROR(INDEX(KEY!$D$2:$D$23, MATCH(TRUE, _xlfn.BYROW(KEY!$F$2:$I$23, _xlfn.LAMBDA(_xlpm.r, COUNTIF(_xlpm.r, C13)&gt;0)), 0)), "")</f>
        <v>Hays</v>
      </c>
      <c r="C13" s="3" t="s">
        <v>52</v>
      </c>
      <c r="D13" s="5">
        <f>_xlfn.XLOOKUP(G13,$C:$C,$F:$F)+1</f>
        <v>46149</v>
      </c>
      <c r="E13" s="28">
        <v>5</v>
      </c>
      <c r="F13" s="5">
        <f t="shared" si="0"/>
        <v>46155</v>
      </c>
      <c r="G13" s="3" t="s">
        <v>62</v>
      </c>
      <c r="H13" s="3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</row>
    <row r="14" spans="1:365" x14ac:dyDescent="0.3">
      <c r="B14" s="3" t="str" cm="1">
        <f t="array" ref="B14">IFERROR(INDEX(KEY!$D$2:$D$23, MATCH(TRUE, _xlfn.BYROW(KEY!$F$2:$I$23, _xlfn.LAMBDA(_xlpm.r, COUNTIF(_xlpm.r, C14)&gt;0)), 0)), "")</f>
        <v>Dave Kaler</v>
      </c>
      <c r="C14" s="3" t="s">
        <v>56</v>
      </c>
      <c r="D14" s="5">
        <f>_xlfn.XLOOKUP(G14,$C:$C,$F:$F)+1</f>
        <v>46149</v>
      </c>
      <c r="E14" s="28">
        <v>2</v>
      </c>
      <c r="F14" s="5">
        <f t="shared" si="0"/>
        <v>46150</v>
      </c>
      <c r="G14" s="3" t="s">
        <v>62</v>
      </c>
      <c r="H14" s="3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</row>
    <row r="15" spans="1:365" x14ac:dyDescent="0.3">
      <c r="B15" s="3" t="str" cm="1">
        <f t="array" ref="B15">IFERROR(INDEX(KEY!$D$2:$D$23, MATCH(TRUE, _xlfn.BYROW(KEY!$F$2:$I$23, _xlfn.LAMBDA(_xlpm.r, COUNTIF(_xlpm.r, C15)&gt;0)), 0)), "")</f>
        <v xml:space="preserve">3C Concrete </v>
      </c>
      <c r="C15" s="3" t="s">
        <v>23</v>
      </c>
      <c r="D15" s="5">
        <f>_xlfn.XLOOKUP(G15,$C:$C,$F:$F)+1</f>
        <v>46156</v>
      </c>
      <c r="E15" s="28">
        <v>3</v>
      </c>
      <c r="F15" s="5">
        <f t="shared" si="0"/>
        <v>46160</v>
      </c>
      <c r="G15" s="3" t="s">
        <v>52</v>
      </c>
      <c r="H15" s="3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</row>
    <row r="16" spans="1:365" x14ac:dyDescent="0.3">
      <c r="B16" s="3" t="str" cm="1">
        <f t="array" ref="B16">IFERROR(INDEX(KEY!$D$2:$D$23, MATCH(TRUE, _xlfn.BYROW(KEY!$F$2:$I$23, _xlfn.LAMBDA(_xlpm.r, COUNTIF(_xlpm.r, C16)&gt;0)), 0)), "")</f>
        <v xml:space="preserve">Gerardo </v>
      </c>
      <c r="C16" s="3" t="s">
        <v>51</v>
      </c>
      <c r="D16" s="5">
        <f>_xlfn.XLOOKUP(G16,$C:$C,$F:$F)+1</f>
        <v>46161</v>
      </c>
      <c r="E16" s="28">
        <v>30</v>
      </c>
      <c r="F16" s="5">
        <f t="shared" si="0"/>
        <v>46202</v>
      </c>
      <c r="G16" s="3" t="s">
        <v>23</v>
      </c>
      <c r="H16" s="3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</row>
    <row r="17" spans="2:365" x14ac:dyDescent="0.3">
      <c r="B17" s="3" t="str" cm="1">
        <f t="array" ref="B17">IFERROR(INDEX(KEY!$D$2:$D$23, MATCH(TRUE, _xlfn.BYROW(KEY!$F$2:$I$23, _xlfn.LAMBDA(_xlpm.r, COUNTIF(_xlpm.r, C17)&gt;0)), 0)), "")</f>
        <v>Rod Smith</v>
      </c>
      <c r="C17" s="3" t="s">
        <v>27</v>
      </c>
      <c r="D17" s="5">
        <f>_xlfn.XLOOKUP(G17,$C:$C,$F:$F)+1</f>
        <v>46203</v>
      </c>
      <c r="E17" s="28">
        <v>3</v>
      </c>
      <c r="F17" s="5">
        <f t="shared" si="0"/>
        <v>46205</v>
      </c>
      <c r="G17" s="3" t="s">
        <v>51</v>
      </c>
      <c r="H17" s="3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</row>
    <row r="18" spans="2:365" x14ac:dyDescent="0.3">
      <c r="B18" s="3" t="str" cm="1">
        <f t="array" ref="B18">IFERROR(INDEX(KEY!$D$2:$D$23, MATCH(TRUE, _xlfn.BYROW(KEY!$F$2:$I$23, _xlfn.LAMBDA(_xlpm.r, COUNTIF(_xlpm.r, C18)&gt;0)), 0)), "")</f>
        <v>Julio H</v>
      </c>
      <c r="C18" s="3" t="s">
        <v>70</v>
      </c>
      <c r="D18" s="5">
        <f>_xlfn.XLOOKUP(G18,$C:$C,$F:$F)+1</f>
        <v>46203</v>
      </c>
      <c r="E18" s="28">
        <v>20</v>
      </c>
      <c r="F18" s="5">
        <f t="shared" si="0"/>
        <v>46230</v>
      </c>
      <c r="G18" s="3" t="s">
        <v>51</v>
      </c>
      <c r="H18" s="3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</row>
    <row r="19" spans="2:365" x14ac:dyDescent="0.3">
      <c r="B19" s="3" t="str" cm="1">
        <f t="array" ref="B19">IFERROR(INDEX(KEY!$D$2:$D$23, MATCH(TRUE, _xlfn.BYROW(KEY!$F$2:$I$23, _xlfn.LAMBDA(_xlpm.r, COUNTIF(_xlpm.r, C19)&gt;0)), 0)), "")</f>
        <v>Julio H</v>
      </c>
      <c r="C19" s="3" t="s">
        <v>71</v>
      </c>
      <c r="D19" s="5">
        <f>_xlfn.XLOOKUP(G19,$C:$C,$F:$F)+1</f>
        <v>46203</v>
      </c>
      <c r="E19" s="28">
        <v>20</v>
      </c>
      <c r="F19" s="5">
        <f t="shared" si="0"/>
        <v>46230</v>
      </c>
      <c r="G19" s="3" t="s">
        <v>51</v>
      </c>
      <c r="H19" s="3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</row>
    <row r="20" spans="2:365" x14ac:dyDescent="0.3">
      <c r="B20" s="3" t="str" cm="1">
        <f t="array" ref="B20">IFERROR(INDEX(KEY!$D$2:$D$23, MATCH(TRUE, _xlfn.BYROW(KEY!$F$2:$I$23, _xlfn.LAMBDA(_xlpm.r, COUNTIF(_xlpm.r, C20)&gt;0)), 0)), "")</f>
        <v xml:space="preserve">Gerardo </v>
      </c>
      <c r="C20" s="3" t="s">
        <v>26</v>
      </c>
      <c r="D20" s="5">
        <f>_xlfn.XLOOKUP(G20,$C:$C,$F:$F)+1</f>
        <v>46203</v>
      </c>
      <c r="E20" s="28">
        <v>10</v>
      </c>
      <c r="F20" s="5">
        <f t="shared" si="0"/>
        <v>46216</v>
      </c>
      <c r="G20" s="3" t="s">
        <v>51</v>
      </c>
      <c r="H20" s="3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</row>
    <row r="21" spans="2:365" x14ac:dyDescent="0.3">
      <c r="B21" s="3" t="str" cm="1">
        <f t="array" ref="B21">IFERROR(INDEX(KEY!$D$2:$D$23, MATCH(TRUE, _xlfn.BYROW(KEY!$F$2:$I$23, _xlfn.LAMBDA(_xlpm.r, COUNTIF(_xlpm.r, C21)&gt;0)), 0)), "")</f>
        <v xml:space="preserve">Willett &amp; Assoc. </v>
      </c>
      <c r="C21" s="3" t="s">
        <v>73</v>
      </c>
      <c r="D21" s="5">
        <f>_xlfn.XLOOKUP(G21,$C:$C,$F:$F)+1</f>
        <v>46231</v>
      </c>
      <c r="E21" s="28">
        <v>2</v>
      </c>
      <c r="F21" s="5">
        <f t="shared" si="0"/>
        <v>46232</v>
      </c>
      <c r="G21" s="3" t="s">
        <v>70</v>
      </c>
      <c r="H21" s="3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</row>
    <row r="22" spans="2:365" x14ac:dyDescent="0.3">
      <c r="B22" s="3" t="str" cm="1">
        <f t="array" ref="B22">IFERROR(INDEX(KEY!$D$2:$D$23, MATCH(TRUE, _xlfn.BYROW(KEY!$F$2:$I$23, _xlfn.LAMBDA(_xlpm.r, COUNTIF(_xlpm.r, C22)&gt;0)), 0)), "")</f>
        <v xml:space="preserve">Ramiro </v>
      </c>
      <c r="C22" s="3" t="s">
        <v>74</v>
      </c>
      <c r="D22" s="5">
        <f>_xlfn.XLOOKUP(G22,$C:$C,$F:$F)+1</f>
        <v>46233</v>
      </c>
      <c r="E22" s="28">
        <v>2</v>
      </c>
      <c r="F22" s="5">
        <f t="shared" si="0"/>
        <v>46234</v>
      </c>
      <c r="G22" s="3" t="s">
        <v>73</v>
      </c>
      <c r="H22" s="3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</row>
    <row r="23" spans="2:365" x14ac:dyDescent="0.3">
      <c r="B23" s="3" t="str" cm="1">
        <f t="array" ref="B23">IFERROR(INDEX(KEY!$D$2:$D$23, MATCH(TRUE, _xlfn.BYROW(KEY!$F$2:$I$23, _xlfn.LAMBDA(_xlpm.r, COUNTIF(_xlpm.r, C23)&gt;0)), 0)), "")</f>
        <v>Jacob Hayden</v>
      </c>
      <c r="C23" s="3" t="s">
        <v>75</v>
      </c>
      <c r="D23" s="5">
        <f>_xlfn.XLOOKUP(G23,$C:$C,$F:$F)+1</f>
        <v>46235</v>
      </c>
      <c r="E23" s="28">
        <v>2</v>
      </c>
      <c r="F23" s="5">
        <f t="shared" si="0"/>
        <v>46237</v>
      </c>
      <c r="G23" s="3" t="s">
        <v>74</v>
      </c>
      <c r="H23" s="3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</row>
    <row r="24" spans="2:365" x14ac:dyDescent="0.3">
      <c r="B24" s="3" t="str" cm="1">
        <f t="array" ref="B24">IFERROR(INDEX(KEY!$D$2:$D$23, MATCH(TRUE, _xlfn.BYROW(KEY!$F$2:$I$23, _xlfn.LAMBDA(_xlpm.r, COUNTIF(_xlpm.r, C24)&gt;0)), 0)), "")</f>
        <v>Jacob Hayden</v>
      </c>
      <c r="C24" s="3" t="s">
        <v>76</v>
      </c>
      <c r="D24" s="5">
        <f>_xlfn.XLOOKUP(G24,$C:$C,$F:$F)+1</f>
        <v>46235</v>
      </c>
      <c r="E24" s="28">
        <v>2</v>
      </c>
      <c r="F24" s="5">
        <f t="shared" si="0"/>
        <v>46237</v>
      </c>
      <c r="G24" s="3" t="s">
        <v>74</v>
      </c>
      <c r="H24" s="3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</row>
    <row r="25" spans="2:365" x14ac:dyDescent="0.3">
      <c r="B25" s="3" t="str" cm="1">
        <f t="array" ref="B25">IFERROR(INDEX(KEY!$D$2:$D$23, MATCH(TRUE, _xlfn.BYROW(KEY!$F$2:$I$23, _xlfn.LAMBDA(_xlpm.r, COUNTIF(_xlpm.r, C25)&gt;0)), 0)), "")</f>
        <v>TruGreen</v>
      </c>
      <c r="C25" s="3" t="s">
        <v>38</v>
      </c>
      <c r="D25" s="5">
        <f>_xlfn.XLOOKUP(G25,$C:$C,$F:$F)+1</f>
        <v>46238</v>
      </c>
      <c r="E25" s="28">
        <v>2</v>
      </c>
      <c r="F25" s="5">
        <f t="shared" si="0"/>
        <v>46239</v>
      </c>
      <c r="G25" s="3" t="s">
        <v>75</v>
      </c>
      <c r="H25" s="3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</row>
    <row r="26" spans="2:365" x14ac:dyDescent="0.3">
      <c r="B26" s="3" t="str" cm="1">
        <f t="array" ref="B26">IFERROR(INDEX(KEY!$D$2:$D$23, MATCH(TRUE, _xlfn.BYROW(KEY!$F$2:$I$23, _xlfn.LAMBDA(_xlpm.r, COUNTIF(_xlpm.r, C26)&gt;0)), 0)), "")</f>
        <v>Jacob Hayden</v>
      </c>
      <c r="C26" s="3" t="s">
        <v>77</v>
      </c>
      <c r="D26" s="5">
        <f>_xlfn.XLOOKUP(G26,$C:$C,$F:$F)+1</f>
        <v>46233</v>
      </c>
      <c r="E26" s="28">
        <v>2</v>
      </c>
      <c r="F26" s="5">
        <f t="shared" si="0"/>
        <v>46234</v>
      </c>
      <c r="G26" s="3" t="s">
        <v>73</v>
      </c>
      <c r="H26" s="3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</row>
    <row r="27" spans="2:365" x14ac:dyDescent="0.3">
      <c r="B27" s="3" t="str" cm="1">
        <f t="array" ref="B27">IFERROR(INDEX(KEY!$D$2:$D$23, MATCH(TRUE, _xlfn.BYROW(KEY!$F$2:$I$23, _xlfn.LAMBDA(_xlpm.r, COUNTIF(_xlpm.r, C27)&gt;0)), 0)), "")</f>
        <v>Adco</v>
      </c>
      <c r="C27" s="3" t="s">
        <v>64</v>
      </c>
      <c r="D27" s="5">
        <f>_xlfn.XLOOKUP(G27,$C:$C,$F:$F)+1</f>
        <v>46203</v>
      </c>
      <c r="E27" s="28">
        <v>5</v>
      </c>
      <c r="F27" s="5">
        <f t="shared" si="0"/>
        <v>46209</v>
      </c>
      <c r="G27" s="3" t="s">
        <v>51</v>
      </c>
      <c r="H27" s="3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</row>
    <row r="28" spans="2:365" x14ac:dyDescent="0.3">
      <c r="B28" s="3" t="str" cm="1">
        <f t="array" ref="B28">IFERROR(INDEX(KEY!$D$2:$D$23, MATCH(TRUE, _xlfn.BYROW(KEY!$F$2:$I$23, _xlfn.LAMBDA(_xlpm.r, COUNTIF(_xlpm.r, C28)&gt;0)), 0)), "")</f>
        <v>Hays</v>
      </c>
      <c r="C28" s="3" t="s">
        <v>53</v>
      </c>
      <c r="D28" s="5">
        <f>_xlfn.XLOOKUP(G28,$C:$C,$F:$F)+1</f>
        <v>46203</v>
      </c>
      <c r="E28" s="28">
        <v>5</v>
      </c>
      <c r="F28" s="5">
        <f t="shared" si="0"/>
        <v>46209</v>
      </c>
      <c r="G28" s="3" t="s">
        <v>51</v>
      </c>
      <c r="H28" s="3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</row>
    <row r="29" spans="2:365" x14ac:dyDescent="0.3">
      <c r="B29" s="3" t="str" cm="1">
        <f t="array" ref="B29">IFERROR(INDEX(KEY!$D$2:$D$23, MATCH(TRUE, _xlfn.BYROW(KEY!$F$2:$I$23, _xlfn.LAMBDA(_xlpm.r, COUNTIF(_xlpm.r, C29)&gt;0)), 0)), "")</f>
        <v>Dave Kaler</v>
      </c>
      <c r="C29" s="3" t="s">
        <v>57</v>
      </c>
      <c r="D29" s="5">
        <f>_xlfn.XLOOKUP(G29,$C:$C,$F:$F)+1</f>
        <v>46203</v>
      </c>
      <c r="E29" s="28">
        <v>10</v>
      </c>
      <c r="F29" s="5">
        <f t="shared" si="0"/>
        <v>46216</v>
      </c>
      <c r="G29" s="3" t="s">
        <v>51</v>
      </c>
      <c r="H29" s="3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</row>
    <row r="30" spans="2:365" x14ac:dyDescent="0.3">
      <c r="B30" s="3" t="str" cm="1">
        <f t="array" ref="B30">IFERROR(INDEX(KEY!$D$2:$D$23, MATCH(TRUE, _xlfn.BYROW(KEY!$F$2:$I$23, _xlfn.LAMBDA(_xlpm.r, COUNTIF(_xlpm.r, C30)&gt;0)), 0)), "")</f>
        <v>Tyler Champion</v>
      </c>
      <c r="C30" s="3" t="s">
        <v>66</v>
      </c>
      <c r="D30" s="5">
        <f>_xlfn.XLOOKUP(G30,$C:$C,$F:$F)+1</f>
        <v>46217</v>
      </c>
      <c r="E30" s="28">
        <v>2</v>
      </c>
      <c r="F30" s="5">
        <f t="shared" si="0"/>
        <v>46218</v>
      </c>
      <c r="G30" s="3" t="s">
        <v>57</v>
      </c>
      <c r="H30" s="3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</row>
    <row r="31" spans="2:365" x14ac:dyDescent="0.3">
      <c r="B31" s="3" t="str" cm="1">
        <f t="array" ref="B31">IFERROR(INDEX(KEY!$D$2:$D$23, MATCH(TRUE, _xlfn.BYROW(KEY!$F$2:$I$23, _xlfn.LAMBDA(_xlpm.r, COUNTIF(_xlpm.r, C31)&gt;0)), 0)), "")</f>
        <v>Bernall Constr.</v>
      </c>
      <c r="C31" s="3" t="s">
        <v>31</v>
      </c>
      <c r="D31" s="5">
        <f>_xlfn.XLOOKUP(G31,$C:$C,$F:$F)+1</f>
        <v>46219</v>
      </c>
      <c r="E31" s="28">
        <v>10</v>
      </c>
      <c r="F31" s="5">
        <f t="shared" si="0"/>
        <v>46232</v>
      </c>
      <c r="G31" s="3" t="s">
        <v>66</v>
      </c>
      <c r="H31" s="3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</row>
    <row r="32" spans="2:365" x14ac:dyDescent="0.3">
      <c r="B32" s="3" t="str" cm="1">
        <f t="array" ref="B32">IFERROR(INDEX(KEY!$D$2:$D$23, MATCH(TRUE, _xlfn.BYROW(KEY!$F$2:$I$23, _xlfn.LAMBDA(_xlpm.r, COUNTIF(_xlpm.r, C32)&gt;0)), 0)), "")</f>
        <v>L&amp;L Painting</v>
      </c>
      <c r="C32" s="3" t="s">
        <v>68</v>
      </c>
      <c r="D32" s="5">
        <f>_xlfn.XLOOKUP(G32,$C:$C,$F:$F)+1</f>
        <v>46233</v>
      </c>
      <c r="E32" s="28">
        <v>3</v>
      </c>
      <c r="F32" s="5">
        <f t="shared" si="0"/>
        <v>46237</v>
      </c>
      <c r="G32" s="3" t="s">
        <v>31</v>
      </c>
      <c r="H32" s="3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38"/>
      <c r="IE32" s="38"/>
      <c r="IF32" s="38"/>
      <c r="IG32" s="38"/>
      <c r="IH32" s="38"/>
      <c r="II32" s="38"/>
      <c r="IJ32" s="38"/>
      <c r="IK32" s="38"/>
      <c r="IL32" s="38"/>
      <c r="IM32" s="38"/>
      <c r="IN32" s="38"/>
      <c r="IO32" s="38"/>
      <c r="IP32" s="38"/>
      <c r="IQ32" s="38"/>
      <c r="IR32" s="38"/>
      <c r="IS32" s="38"/>
      <c r="IT32" s="38"/>
      <c r="IU32" s="38"/>
      <c r="IV32" s="38"/>
      <c r="IW32" s="38"/>
      <c r="IX32" s="38"/>
      <c r="IY32" s="38"/>
      <c r="IZ32" s="38"/>
      <c r="JA32" s="38"/>
      <c r="JB32" s="38"/>
      <c r="JC32" s="38"/>
      <c r="JD32" s="38"/>
      <c r="JE32" s="38"/>
      <c r="JF32" s="38"/>
      <c r="JG32" s="38"/>
      <c r="JH32" s="38"/>
      <c r="JI32" s="38"/>
      <c r="JJ32" s="38"/>
      <c r="JK32" s="38"/>
      <c r="JL32" s="38"/>
      <c r="JM32" s="38"/>
      <c r="JN32" s="38"/>
      <c r="JO32" s="38"/>
      <c r="JP32" s="38"/>
      <c r="JQ32" s="38"/>
      <c r="JR32" s="38"/>
      <c r="JS32" s="38"/>
      <c r="JT32" s="38"/>
      <c r="JU32" s="38"/>
      <c r="JV32" s="38"/>
      <c r="JW32" s="38"/>
      <c r="JX32" s="38"/>
      <c r="JY32" s="38"/>
      <c r="JZ32" s="38"/>
      <c r="KA32" s="38"/>
      <c r="KB32" s="38"/>
      <c r="KC32" s="38"/>
      <c r="KD32" s="38"/>
      <c r="KE32" s="38"/>
      <c r="KF32" s="38"/>
      <c r="KG32" s="38"/>
      <c r="KH32" s="38"/>
      <c r="KI32" s="38"/>
      <c r="KJ32" s="38"/>
      <c r="KK32" s="38"/>
      <c r="KL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  <c r="KW32" s="38"/>
      <c r="KX32" s="38"/>
      <c r="KY32" s="38"/>
      <c r="KZ32" s="38"/>
      <c r="LA32" s="38"/>
      <c r="LB32" s="38"/>
      <c r="LC32" s="38"/>
      <c r="LD32" s="38"/>
      <c r="LE32" s="38"/>
      <c r="LF32" s="38"/>
      <c r="LG32" s="38"/>
      <c r="LH32" s="38"/>
      <c r="LI32" s="38"/>
      <c r="LJ32" s="38"/>
      <c r="LK32" s="38"/>
      <c r="LL32" s="38"/>
      <c r="LM32" s="38"/>
      <c r="LN32" s="38"/>
      <c r="LO32" s="38"/>
      <c r="LP32" s="38"/>
      <c r="LQ32" s="38"/>
      <c r="LR32" s="38"/>
      <c r="LS32" s="38"/>
      <c r="LT32" s="38"/>
      <c r="LU32" s="38"/>
      <c r="LV32" s="38"/>
      <c r="LW32" s="38"/>
      <c r="LX32" s="38"/>
      <c r="LY32" s="38"/>
      <c r="LZ32" s="38"/>
      <c r="MA32" s="38"/>
      <c r="MB32" s="38"/>
      <c r="MC32" s="38"/>
      <c r="MD32" s="38"/>
      <c r="ME32" s="38"/>
      <c r="MF32" s="38"/>
      <c r="MG32" s="38"/>
      <c r="MH32" s="38"/>
      <c r="MI32" s="38"/>
      <c r="MJ32" s="38"/>
      <c r="MK32" s="38"/>
      <c r="ML32" s="38"/>
      <c r="MM32" s="38"/>
      <c r="MN32" s="38"/>
      <c r="MO32" s="38"/>
      <c r="MP32" s="38"/>
      <c r="MQ32" s="38"/>
      <c r="MR32" s="38"/>
      <c r="MS32" s="38"/>
      <c r="MT32" s="38"/>
      <c r="MU32" s="38"/>
      <c r="MV32" s="38"/>
      <c r="MW32" s="38"/>
      <c r="MX32" s="38"/>
      <c r="MY32" s="38"/>
      <c r="MZ32" s="38"/>
      <c r="NA32" s="38"/>
    </row>
    <row r="33" spans="2:365" x14ac:dyDescent="0.3">
      <c r="B33" s="3" t="str" cm="1">
        <f t="array" ref="B33">IFERROR(INDEX(KEY!$D$2:$D$23, MATCH(TRUE, _xlfn.BYROW(KEY!$F$2:$I$23, _xlfn.LAMBDA(_xlpm.r, COUNTIF(_xlpm.r, C33)&gt;0)), 0)), "")</f>
        <v>Danny Liedecher</v>
      </c>
      <c r="C33" s="3" t="s">
        <v>41</v>
      </c>
      <c r="D33" s="5">
        <f>_xlfn.XLOOKUP(G33,$C:$C,$F:$F)+1</f>
        <v>46238</v>
      </c>
      <c r="E33" s="28">
        <v>2</v>
      </c>
      <c r="F33" s="5">
        <f t="shared" si="0"/>
        <v>46239</v>
      </c>
      <c r="G33" s="3" t="s">
        <v>68</v>
      </c>
      <c r="H33" s="3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</row>
    <row r="34" spans="2:365" x14ac:dyDescent="0.3">
      <c r="B34" s="3" t="str" cm="1">
        <f t="array" ref="B34">IFERROR(INDEX(KEY!$D$2:$D$23, MATCH(TRUE, _xlfn.BYROW(KEY!$F$2:$I$23, _xlfn.LAMBDA(_xlpm.r, COUNTIF(_xlpm.r, C34)&gt;0)), 0)), "")</f>
        <v>LW Contracting</v>
      </c>
      <c r="C34" s="3" t="s">
        <v>29</v>
      </c>
      <c r="D34" s="5">
        <f>_xlfn.XLOOKUP(G34,$C:$C,$F:$F)+1</f>
        <v>46238</v>
      </c>
      <c r="E34" s="28">
        <v>5</v>
      </c>
      <c r="F34" s="5">
        <f t="shared" si="0"/>
        <v>46244</v>
      </c>
      <c r="G34" s="3" t="s">
        <v>68</v>
      </c>
      <c r="H34" s="3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</row>
    <row r="35" spans="2:365" x14ac:dyDescent="0.3">
      <c r="B35" s="3" t="str" cm="1">
        <f t="array" ref="B35">IFERROR(INDEX(KEY!$D$2:$D$23, MATCH(TRUE, _xlfn.BYROW(KEY!$F$2:$I$23, _xlfn.LAMBDA(_xlpm.r, COUNTIF(_xlpm.r, C35)&gt;0)), 0)), "")</f>
        <v>LW Contracting</v>
      </c>
      <c r="C35" s="3" t="s">
        <v>30</v>
      </c>
      <c r="D35" s="5">
        <f>_xlfn.XLOOKUP(G35,$C:$C,$F:$F)+1</f>
        <v>46238</v>
      </c>
      <c r="E35" s="28">
        <v>8</v>
      </c>
      <c r="F35" s="5">
        <f t="shared" si="0"/>
        <v>46247</v>
      </c>
      <c r="G35" s="3" t="s">
        <v>68</v>
      </c>
      <c r="H35" s="3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</row>
    <row r="36" spans="2:365" x14ac:dyDescent="0.3">
      <c r="B36" s="3" t="str" cm="1">
        <f t="array" ref="B36">IFERROR(INDEX(KEY!$D$2:$D$23, MATCH(TRUE, _xlfn.BYROW(KEY!$F$2:$I$23, _xlfn.LAMBDA(_xlpm.r, COUNTIF(_xlpm.r, C36)&gt;0)), 0)), "")</f>
        <v>Matt Thorn</v>
      </c>
      <c r="C36" s="3" t="s">
        <v>32</v>
      </c>
      <c r="D36" s="5">
        <f>_xlfn.XLOOKUP(G36,$C:$C,$F:$F)+1</f>
        <v>46245</v>
      </c>
      <c r="E36" s="28">
        <v>20</v>
      </c>
      <c r="F36" s="5">
        <f t="shared" si="0"/>
        <v>46272</v>
      </c>
      <c r="G36" s="3" t="s">
        <v>29</v>
      </c>
      <c r="H36" s="3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/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</row>
    <row r="37" spans="2:365" x14ac:dyDescent="0.3">
      <c r="B37" s="3" t="str" cm="1">
        <f t="array" ref="B37">IFERROR(INDEX(KEY!$D$2:$D$23, MATCH(TRUE, _xlfn.BYROW(KEY!$F$2:$I$23, _xlfn.LAMBDA(_xlpm.r, COUNTIF(_xlpm.r, C37)&gt;0)), 0)), "")</f>
        <v>Matt Thorn</v>
      </c>
      <c r="C37" s="3" t="s">
        <v>33</v>
      </c>
      <c r="D37" s="5">
        <f>_xlfn.XLOOKUP(G37,$C:$C,$F:$F)+1</f>
        <v>46217</v>
      </c>
      <c r="E37" s="28">
        <v>2</v>
      </c>
      <c r="F37" s="5">
        <f t="shared" si="0"/>
        <v>46218</v>
      </c>
      <c r="G37" s="3" t="s">
        <v>26</v>
      </c>
      <c r="H37" s="3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</row>
    <row r="38" spans="2:365" x14ac:dyDescent="0.3">
      <c r="B38" s="3" t="str" cm="1">
        <f t="array" ref="B38">IFERROR(INDEX(KEY!$D$2:$D$23, MATCH(TRUE, _xlfn.BYROW(KEY!$F$2:$I$23, _xlfn.LAMBDA(_xlpm.r, COUNTIF(_xlpm.r, C38)&gt;0)), 0)), "")</f>
        <v>Whittmer</v>
      </c>
      <c r="C38" s="3" t="s">
        <v>34</v>
      </c>
      <c r="D38" s="5">
        <f>_xlfn.XLOOKUP(G38,$C:$C,$F:$F)+1</f>
        <v>46245</v>
      </c>
      <c r="E38" s="28">
        <v>3</v>
      </c>
      <c r="F38" s="5">
        <f t="shared" si="0"/>
        <v>46247</v>
      </c>
      <c r="G38" s="3" t="s">
        <v>29</v>
      </c>
      <c r="H38" s="3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</row>
    <row r="39" spans="2:365" x14ac:dyDescent="0.3">
      <c r="B39" s="3" t="str" cm="1">
        <f t="array" ref="B39">IFERROR(INDEX(KEY!$D$2:$D$23, MATCH(TRUE, _xlfn.BYROW(KEY!$F$2:$I$23, _xlfn.LAMBDA(_xlpm.r, COUNTIF(_xlpm.r, C39)&gt;0)), 0)), "")</f>
        <v>Tate Granit</v>
      </c>
      <c r="C39" s="3" t="s">
        <v>35</v>
      </c>
      <c r="D39" s="5">
        <f>_xlfn.XLOOKUP(G39,$C:$C,$F:$F)+1</f>
        <v>46248</v>
      </c>
      <c r="E39" s="28">
        <v>2</v>
      </c>
      <c r="F39" s="5">
        <f t="shared" si="0"/>
        <v>46251</v>
      </c>
      <c r="G39" s="3" t="s">
        <v>34</v>
      </c>
      <c r="H39" s="3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8"/>
      <c r="IW39" s="38"/>
      <c r="IX39" s="38"/>
      <c r="IY39" s="38"/>
      <c r="IZ39" s="38"/>
      <c r="JA39" s="38"/>
      <c r="JB39" s="38"/>
      <c r="JC39" s="38"/>
      <c r="JD39" s="38"/>
      <c r="JE39" s="38"/>
      <c r="JF39" s="38"/>
      <c r="JG39" s="38"/>
      <c r="JH39" s="38"/>
      <c r="JI39" s="38"/>
      <c r="JJ39" s="38"/>
      <c r="JK39" s="38"/>
      <c r="JL39" s="38"/>
      <c r="JM39" s="38"/>
      <c r="JN39" s="38"/>
      <c r="JO39" s="38"/>
      <c r="JP39" s="38"/>
      <c r="JQ39" s="38"/>
      <c r="JR39" s="38"/>
      <c r="JS39" s="38"/>
      <c r="JT39" s="38"/>
      <c r="JU39" s="38"/>
      <c r="JV39" s="38"/>
      <c r="JW39" s="38"/>
      <c r="JX39" s="38"/>
      <c r="JY39" s="38"/>
      <c r="JZ39" s="38"/>
      <c r="KA39" s="38"/>
      <c r="KB39" s="38"/>
      <c r="KC39" s="38"/>
      <c r="KD39" s="38"/>
      <c r="KE39" s="38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8"/>
      <c r="KY39" s="38"/>
      <c r="KZ39" s="38"/>
      <c r="LA39" s="38"/>
      <c r="LB39" s="38"/>
      <c r="LC39" s="38"/>
      <c r="LD39" s="38"/>
      <c r="LE39" s="38"/>
      <c r="LF39" s="38"/>
      <c r="LG39" s="38"/>
      <c r="LH39" s="38"/>
      <c r="LI39" s="38"/>
      <c r="LJ39" s="38"/>
      <c r="LK39" s="38"/>
      <c r="LL39" s="38"/>
      <c r="LM39" s="38"/>
      <c r="LN39" s="38"/>
      <c r="LO39" s="38"/>
      <c r="LP39" s="38"/>
      <c r="LQ39" s="38"/>
      <c r="LR39" s="38"/>
      <c r="LS39" s="38"/>
      <c r="LT39" s="38"/>
      <c r="LU39" s="38"/>
      <c r="LV39" s="38"/>
      <c r="LW39" s="38"/>
      <c r="LX39" s="38"/>
      <c r="LY39" s="38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/>
      <c r="MM39" s="38"/>
      <c r="MN39" s="38"/>
      <c r="MO39" s="38"/>
      <c r="MP39" s="38"/>
      <c r="MQ39" s="38"/>
      <c r="MR39" s="38"/>
      <c r="MS39" s="38"/>
      <c r="MT39" s="38"/>
      <c r="MU39" s="38"/>
      <c r="MV39" s="38"/>
      <c r="MW39" s="38"/>
      <c r="MX39" s="38"/>
      <c r="MY39" s="38"/>
      <c r="MZ39" s="38"/>
      <c r="NA39" s="38"/>
    </row>
    <row r="40" spans="2:365" x14ac:dyDescent="0.3">
      <c r="B40" s="3" t="str" cm="1">
        <f t="array" ref="B40">IFERROR(INDEX(KEY!$D$2:$D$23, MATCH(TRUE, _xlfn.BYROW(KEY!$F$2:$I$23, _xlfn.LAMBDA(_xlpm.r, COUNTIF(_xlpm.r, C40)&gt;0)), 0)), "")</f>
        <v>L&amp;L Painting</v>
      </c>
      <c r="C40" s="3" t="s">
        <v>69</v>
      </c>
      <c r="D40" s="5">
        <f>_xlfn.XLOOKUP(G40,$C:$C,$F:$F)+1</f>
        <v>46252</v>
      </c>
      <c r="E40" s="28">
        <v>10</v>
      </c>
      <c r="F40" s="5">
        <f t="shared" si="0"/>
        <v>46265</v>
      </c>
      <c r="G40" s="3" t="s">
        <v>35</v>
      </c>
      <c r="H40" s="3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/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</row>
    <row r="41" spans="2:365" x14ac:dyDescent="0.3">
      <c r="B41" s="3" t="str" cm="1">
        <f t="array" ref="B41">IFERROR(INDEX(KEY!$D$2:$D$23, MATCH(TRUE, _xlfn.BYROW(KEY!$F$2:$I$23, _xlfn.LAMBDA(_xlpm.r, COUNTIF(_xlpm.r, C41)&gt;0)), 0)), "")</f>
        <v>Dave Kaler</v>
      </c>
      <c r="C41" s="3" t="s">
        <v>72</v>
      </c>
      <c r="D41" s="5">
        <f>_xlfn.XLOOKUP(G41,$C:$C,$F:$F)+1</f>
        <v>46252</v>
      </c>
      <c r="E41" s="28">
        <v>2</v>
      </c>
      <c r="F41" s="5">
        <f t="shared" si="0"/>
        <v>46253</v>
      </c>
      <c r="G41" s="3" t="s">
        <v>35</v>
      </c>
      <c r="H41" s="3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</row>
    <row r="42" spans="2:365" x14ac:dyDescent="0.3">
      <c r="B42" s="3" t="str" cm="1">
        <f t="array" ref="B42">IFERROR(INDEX(KEY!$D$2:$D$23, MATCH(TRUE, _xlfn.BYROW(KEY!$F$2:$I$23, _xlfn.LAMBDA(_xlpm.r, COUNTIF(_xlpm.r, C42)&gt;0)), 0)), "")</f>
        <v>Adco</v>
      </c>
      <c r="C42" s="3" t="s">
        <v>59</v>
      </c>
      <c r="D42" s="5">
        <f>_xlfn.XLOOKUP(G42,$C:$C,$F:$F)+1</f>
        <v>46266</v>
      </c>
      <c r="E42" s="28">
        <v>2</v>
      </c>
      <c r="F42" s="5">
        <f t="shared" si="0"/>
        <v>46267</v>
      </c>
      <c r="G42" s="3" t="s">
        <v>69</v>
      </c>
      <c r="H42" s="3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</row>
    <row r="43" spans="2:365" x14ac:dyDescent="0.3">
      <c r="B43" s="3" t="str" cm="1">
        <f t="array" ref="B43">IFERROR(INDEX(KEY!$D$2:$D$23, MATCH(TRUE, _xlfn.BYROW(KEY!$F$2:$I$23, _xlfn.LAMBDA(_xlpm.r, COUNTIF(_xlpm.r, C43)&gt;0)), 0)), "")</f>
        <v>Hays</v>
      </c>
      <c r="C43" s="3" t="s">
        <v>54</v>
      </c>
      <c r="D43" s="5">
        <f>_xlfn.XLOOKUP(G43,$C:$C,$F:$F)+1</f>
        <v>46252</v>
      </c>
      <c r="E43" s="28">
        <v>2</v>
      </c>
      <c r="F43" s="5">
        <f t="shared" si="0"/>
        <v>46253</v>
      </c>
      <c r="G43" s="3" t="s">
        <v>35</v>
      </c>
      <c r="H43" s="3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</row>
    <row r="44" spans="2:365" x14ac:dyDescent="0.3">
      <c r="B44" s="3" t="str" cm="1">
        <f t="array" ref="B44">IFERROR(INDEX(KEY!$D$2:$D$23, MATCH(TRUE, _xlfn.BYROW(KEY!$F$2:$I$23, _xlfn.LAMBDA(_xlpm.r, COUNTIF(_xlpm.r, C44)&gt;0)), 0)), "")</f>
        <v>Dave Kaler</v>
      </c>
      <c r="C44" s="3" t="s">
        <v>58</v>
      </c>
      <c r="D44" s="5">
        <f>_xlfn.XLOOKUP(G44,$C:$C,$F:$F)+1</f>
        <v>46266</v>
      </c>
      <c r="E44" s="28">
        <v>4</v>
      </c>
      <c r="F44" s="5">
        <f t="shared" si="0"/>
        <v>46269</v>
      </c>
      <c r="G44" s="3" t="s">
        <v>69</v>
      </c>
      <c r="H44" s="3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</row>
    <row r="45" spans="2:365" x14ac:dyDescent="0.3">
      <c r="B45" s="3" t="str" cm="1">
        <f t="array" ref="B45">IFERROR(INDEX(KEY!$D$2:$D$23, MATCH(TRUE, _xlfn.BYROW(KEY!$F$2:$I$23, _xlfn.LAMBDA(_xlpm.r, COUNTIF(_xlpm.r, C45)&gt;0)), 0)), "")</f>
        <v>Tyler Champion</v>
      </c>
      <c r="C45" s="3" t="s">
        <v>67</v>
      </c>
      <c r="D45" s="5">
        <f>_xlfn.XLOOKUP(G45,$C:$C,$F:$F)+1</f>
        <v>46270</v>
      </c>
      <c r="E45" s="28">
        <v>2</v>
      </c>
      <c r="F45" s="5">
        <f t="shared" si="0"/>
        <v>46272</v>
      </c>
      <c r="G45" s="3" t="s">
        <v>58</v>
      </c>
      <c r="H45" s="3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</row>
    <row r="46" spans="2:365" x14ac:dyDescent="0.3">
      <c r="B46" s="3" t="str" cm="1">
        <f t="array" ref="B46">IFERROR(INDEX(KEY!$D$2:$D$23, MATCH(TRUE, _xlfn.BYROW(KEY!$F$2:$I$23, _xlfn.LAMBDA(_xlpm.r, COUNTIF(_xlpm.r, C46)&gt;0)), 0)), "")</f>
        <v>L&amp;L Painting</v>
      </c>
      <c r="C46" s="3" t="s">
        <v>55</v>
      </c>
      <c r="D46" s="5">
        <f>_xlfn.XLOOKUP(G46,$C:$C,$F:$F)+1</f>
        <v>46270</v>
      </c>
      <c r="E46" s="28">
        <v>5</v>
      </c>
      <c r="F46" s="5">
        <f t="shared" si="0"/>
        <v>46275</v>
      </c>
      <c r="G46" s="3" t="s">
        <v>58</v>
      </c>
      <c r="H46" s="3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</row>
    <row r="47" spans="2:365" x14ac:dyDescent="0.3">
      <c r="B47" s="3" t="str" cm="1">
        <f t="array" ref="B47">IFERROR(INDEX(KEY!$D$2:$D$23, MATCH(TRUE, _xlfn.BYROW(KEY!$F$2:$I$23, _xlfn.LAMBDA(_xlpm.r, COUNTIF(_xlpm.r, C47)&gt;0)), 0)), "")</f>
        <v>Angies Cleaning</v>
      </c>
      <c r="C47" s="3" t="s">
        <v>39</v>
      </c>
      <c r="D47" s="5">
        <f>_xlfn.XLOOKUP(G47,$C:$C,$F:$F)+1</f>
        <v>46276</v>
      </c>
      <c r="E47" s="28">
        <v>3</v>
      </c>
      <c r="F47" s="5">
        <f t="shared" si="0"/>
        <v>46280</v>
      </c>
      <c r="G47" s="3" t="s">
        <v>55</v>
      </c>
      <c r="H47" s="3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</row>
    <row r="49" spans="5:8" x14ac:dyDescent="0.3">
      <c r="E49" s="4">
        <f>F47-D4</f>
        <v>167</v>
      </c>
      <c r="F49" s="44" t="s">
        <v>98</v>
      </c>
      <c r="G49" s="3"/>
      <c r="H49" s="3"/>
    </row>
    <row r="50" spans="5:8" x14ac:dyDescent="0.3">
      <c r="E50" s="28">
        <f>F47-D5</f>
        <v>153</v>
      </c>
      <c r="F50" s="43" t="s">
        <v>99</v>
      </c>
    </row>
    <row r="51" spans="5:8" x14ac:dyDescent="0.3">
      <c r="E51" s="45">
        <f>E50/30.41</f>
        <v>5.0312397237750739</v>
      </c>
      <c r="F51" s="44" t="s">
        <v>97</v>
      </c>
    </row>
  </sheetData>
  <mergeCells count="51">
    <mergeCell ref="LZ1:MF1"/>
    <mergeCell ref="MG1:MM1"/>
    <mergeCell ref="MN1:MT1"/>
    <mergeCell ref="MU1:NA1"/>
    <mergeCell ref="KJ1:KP1"/>
    <mergeCell ref="KQ1:KW1"/>
    <mergeCell ref="KX1:LD1"/>
    <mergeCell ref="LE1:LK1"/>
    <mergeCell ref="LL1:LR1"/>
    <mergeCell ref="LS1:LY1"/>
    <mergeCell ref="KC1:KI1"/>
    <mergeCell ref="HD1:HJ1"/>
    <mergeCell ref="HK1:HQ1"/>
    <mergeCell ref="HR1:HX1"/>
    <mergeCell ref="HY1:IE1"/>
    <mergeCell ref="IF1:IL1"/>
    <mergeCell ref="IM1:IS1"/>
    <mergeCell ref="IT1:IZ1"/>
    <mergeCell ref="JA1:JG1"/>
    <mergeCell ref="JH1:JN1"/>
    <mergeCell ref="JO1:JU1"/>
    <mergeCell ref="JV1:KB1"/>
    <mergeCell ref="GW1:HC1"/>
    <mergeCell ref="DX1:ED1"/>
    <mergeCell ref="EE1:EK1"/>
    <mergeCell ref="EL1:ER1"/>
    <mergeCell ref="ES1:EY1"/>
    <mergeCell ref="EZ1:FF1"/>
    <mergeCell ref="FG1:FM1"/>
    <mergeCell ref="FN1:FT1"/>
    <mergeCell ref="FU1:GA1"/>
    <mergeCell ref="GB1:GH1"/>
    <mergeCell ref="GI1:GO1"/>
    <mergeCell ref="GP1:GV1"/>
    <mergeCell ref="DQ1:DW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I1:O1"/>
    <mergeCell ref="P1:V1"/>
    <mergeCell ref="W1:AC1"/>
    <mergeCell ref="AD1:AJ1"/>
    <mergeCell ref="AK1:AQ1"/>
  </mergeCells>
  <conditionalFormatting sqref="I4:NA47">
    <cfRule type="expression" dxfId="18" priority="1">
      <formula>AND(I$3&gt;=$D4,I$3&lt;=$F4,WEEKDAY(I$3,2)&lt;=5,TRIM($B4)="Angies Cleaning")</formula>
    </cfRule>
    <cfRule type="expression" dxfId="17" priority="2">
      <formula>AND(I$3&gt;=$D4,I$3&lt;=$F4,WEEKDAY(I$3,2)&lt;=5,TRIM($B4)="Tate Granit")</formula>
    </cfRule>
    <cfRule type="expression" dxfId="16" priority="3">
      <formula>AND(I$3&gt;=$D4,I$3&lt;=$F4,WEEKDAY(I$3,2)&lt;=5,TRIM($B4)="Whittmer")</formula>
    </cfRule>
    <cfRule type="expression" dxfId="15" priority="4">
      <formula>AND(I$3&gt;=$D4,I$3&lt;=$F4,WEEKDAY(I$3,2)&lt;=5,TRIM($B4)="Matt Thorn")</formula>
    </cfRule>
    <cfRule type="expression" dxfId="14" priority="5">
      <formula>AND(I$3&gt;=$D4,I$3&lt;=$F4,WEEKDAY(I$3,2)&lt;=5,TRIM($B4)="LW Contracting")</formula>
    </cfRule>
    <cfRule type="expression" dxfId="13" priority="6">
      <formula>AND(I$3&gt;=$D4,I$3&lt;=$F4,WEEKDAY(I$3,2)&lt;=5,TRIM($B4)="Danny Liedecher")</formula>
    </cfRule>
    <cfRule type="expression" dxfId="12" priority="7">
      <formula>AND(I$3&gt;=$D4,I$3&lt;=$F4,WEEKDAY(I$3,2)&lt;=5,TRIM($B4)="L&amp;L Painting")</formula>
    </cfRule>
    <cfRule type="expression" dxfId="11" priority="8">
      <formula>AND(I$3&gt;=$D4,I$3&lt;=$F4,WEEKDAY(I$3,2)&lt;=5,TRIM($B4)="Bernall Const.")</formula>
    </cfRule>
    <cfRule type="expression" dxfId="10" priority="9">
      <formula>AND(I$3&gt;=$D4,I$3&lt;=$F4,WEEKDAY(I$3,2)&lt;=5,TRIM($B4)="TruGreen")</formula>
    </cfRule>
    <cfRule type="expression" dxfId="9" priority="10">
      <formula>AND(I$3&gt;=$D4,I$3&lt;=$F4,WEEKDAY(I$3,2)&lt;=5,TRIM($B4)="Ramiro")</formula>
    </cfRule>
    <cfRule type="expression" dxfId="8" priority="11">
      <formula>AND(I$3&gt;=$D4,I$3&lt;=$F4,WEEKDAY(I$3,2)&lt;=5,TRIM($B4)="Gerardo")</formula>
    </cfRule>
    <cfRule type="expression" dxfId="7" priority="12">
      <formula>AND(I$3&gt;=$D4,I$3&lt;=$F4,WEEKDAY(I$3,2)&lt;=5,TRIM($B4)="Dave Kaler")</formula>
    </cfRule>
    <cfRule type="expression" dxfId="6" priority="13">
      <formula>AND(I$3&gt;=$D4,I$3&lt;=$F4,WEEKDAY(I$3,2)&lt;=5,TRIM($B4)="Hays")</formula>
    </cfRule>
    <cfRule type="expression" dxfId="5" priority="14">
      <formula>AND(I$3&gt;=$D4,I$3&lt;=$F4,WEEKDAY(I$3,2)&lt;=5,TRIM($B4)="Adco")</formula>
    </cfRule>
    <cfRule type="expression" dxfId="4" priority="15">
      <formula>AND(I$3&gt;=$D4,I$3&lt;=$F4,WEEKDAY(I$3,2)&lt;=5,TRIM($B4)="Tyler Champion")</formula>
    </cfRule>
    <cfRule type="expression" dxfId="3" priority="16">
      <formula>AND(I$3&gt;=$D4,I$3&lt;=$F4,WEEKDAY(I$3,2)&lt;=5,TRIM($B4)="Jacob Hayden")</formula>
    </cfRule>
    <cfRule type="expression" dxfId="2" priority="17">
      <formula>AND(I$3&gt;=$D4,I$3&lt;=$F4,WEEKDAY(I$3,2)&lt;=5,TRIM($B4)="Julio H")</formula>
    </cfRule>
    <cfRule type="expression" dxfId="1" priority="18">
      <formula>AND(I$3&gt;=$D4,I$3&lt;=$F4,WEEKDAY(I$3,2)&lt;=5,TRIM($B4)="Willett &amp; Assoc.")</formula>
    </cfRule>
    <cfRule type="expression" dxfId="0" priority="19">
      <formula>AND(I$3&gt;=$D4,I$3&lt;=$F4,WEEKDAY(I$3,2)&lt;=5,TRIM($B4)="3C Concrete")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Willett</dc:creator>
  <cp:lastModifiedBy>Chad Willett</cp:lastModifiedBy>
  <dcterms:created xsi:type="dcterms:W3CDTF">2026-04-02T13:08:36Z</dcterms:created>
  <dcterms:modified xsi:type="dcterms:W3CDTF">2026-04-09T03:41:46Z</dcterms:modified>
</cp:coreProperties>
</file>